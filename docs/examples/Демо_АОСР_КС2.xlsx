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Реквизиты" state="visible" r:id="rId4"/>
    <sheet sheetId="2" name="Ввод_работ" state="visible" r:id="rId5"/>
    <sheet sheetId="3" name="КС-2" state="visible" r:id="rId6"/>
    <sheet sheetId="4" name="Сверка" state="visible" r:id="rId7"/>
    <sheet sheetId="5" name="Акт_01" state="visible" r:id="rId8"/>
    <sheet sheetId="6" name="Акт_02" state="visible" r:id="rId9"/>
    <sheet sheetId="7" name="Акт_03" state="visible" r:id="rId10"/>
    <sheet sheetId="8" name="Акт_04" state="visible" r:id="rId11"/>
    <sheet sheetId="9" name="Акт_05" state="visible" r:id="rId12"/>
    <sheet sheetId="10" name="Акт_06" state="visible" r:id="rId13"/>
    <sheet sheetId="11" name="Акт_07" state="visible" r:id="rId14"/>
    <sheet sheetId="12" name="Акт_08" state="visible" r:id="rId15"/>
    <sheet sheetId="13" name="Акт_09" state="visible" r:id="rId16"/>
    <sheet sheetId="14" name="Акт_10" state="visible" r:id="rId17"/>
    <sheet sheetId="15" name="Акт_11" state="visible" r:id="rId18"/>
    <sheet sheetId="16" name="Акт_12" state="visible" r:id="rId19"/>
    <sheet sheetId="17" name="Акт_13" state="visible" r:id="rId20"/>
    <sheet sheetId="18" name="Акт_14" state="visible" r:id="rId21"/>
    <sheet sheetId="19" name="Акт_15" state="visible" r:id="rId22"/>
    <sheet sheetId="20" name="Инструкция" state="visible" r:id="rId23"/>
  </sheets>
  <calcPr calcId="171027" fullCalcOnLoad="1"/>
</workbook>
</file>

<file path=xl/sharedStrings.xml><?xml version="1.0" encoding="utf-8"?>
<sst xmlns="http://schemas.openxmlformats.org/spreadsheetml/2006/main" count="594" uniqueCount="117">
  <si>
    <t>АОСР — общие реквизиты проекта</t>
  </si>
  <si>
    <t>Объект</t>
  </si>
  <si>
    <t>Учебный объект (вымышленно)</t>
  </si>
  <si>
    <t>Номер проекта</t>
  </si>
  <si>
    <t>DEMO-2026</t>
  </si>
  <si>
    <t>Адрес</t>
  </si>
  <si>
    <t>Учебная улица, дом 1</t>
  </si>
  <si>
    <t>Заказчик</t>
  </si>
  <si>
    <t>Учебный заказчик</t>
  </si>
  <si>
    <t>Подрядчик</t>
  </si>
  <si>
    <t>ООО «Пример-Кровля» (вымышленно)</t>
  </si>
  <si>
    <t>Проектировщик</t>
  </si>
  <si>
    <t>Проектное бюро «Образец» (вымышленно)</t>
  </si>
  <si>
    <t>Шифр проекта</t>
  </si>
  <si>
    <t>TEST-ROOF-2026</t>
  </si>
  <si>
    <t>Стройконтроль / инженер ПТО</t>
  </si>
  <si>
    <t>Инженер ПТО (демо)</t>
  </si>
  <si>
    <t>Представитель заказчика</t>
  </si>
  <si>
    <t>Представитель заказчика (демо)</t>
  </si>
  <si>
    <t>Город</t>
  </si>
  <si>
    <t>Примерный город</t>
  </si>
  <si>
    <t>СТАТУС: ЧЕРНОВИК. Не утверждённая форма АОСР. Требуется ручной контроль.</t>
  </si>
  <si>
    <t>Акты скрытых работ — редактируемая таблица</t>
  </si>
  <si>
    <t>Жёлтые ячейки редактируются. Изменения отражаются в листах Акт_01…Акт_15 после пересчёта Excel.</t>
  </si>
  <si>
    <t>№ акта</t>
  </si>
  <si>
    <t>Вид работ</t>
  </si>
  <si>
    <t>Начало</t>
  </si>
  <si>
    <t>Окончание</t>
  </si>
  <si>
    <t>Дата акта</t>
  </si>
  <si>
    <t>№ схемы</t>
  </si>
  <si>
    <t>Наименование схемы</t>
  </si>
  <si>
    <t>Материалы и документы качества</t>
  </si>
  <si>
    <t>Объём по схеме</t>
  </si>
  <si>
    <t>Ед.</t>
  </si>
  <si>
    <t>Позиция КС-2</t>
  </si>
  <si>
    <t>Примечание</t>
  </si>
  <si>
    <t>1.0</t>
  </si>
  <si>
    <t>Гидроизоляция кровли, зона А (демо)</t>
  </si>
  <si>
    <t>2026-10-01</t>
  </si>
  <si>
    <t>2026-10-02</t>
  </si>
  <si>
    <t>ИС-01</t>
  </si>
  <si>
    <t/>
  </si>
  <si>
    <t>Учебный сертификат № DEMO-001 (не реальный документ)</t>
  </si>
  <si>
    <t>м²</t>
  </si>
  <si>
    <t>КС2-01</t>
  </si>
  <si>
    <t>1.1</t>
  </si>
  <si>
    <t>Гидроизоляция кровли, зона Б (демо)</t>
  </si>
  <si>
    <t>2026-10-03</t>
  </si>
  <si>
    <t>2026-10-04</t>
  </si>
  <si>
    <t>ИС-02</t>
  </si>
  <si>
    <t>1.2</t>
  </si>
  <si>
    <t>Укладка утеплителя, зона А (демо)</t>
  </si>
  <si>
    <t>2026-10-05</t>
  </si>
  <si>
    <t>ИС-03</t>
  </si>
  <si>
    <t>Учебный паспорт № DEMO-002 (не реальный документ)</t>
  </si>
  <si>
    <t>КС2-02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</si>
  <si>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</si>
  <si>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</si>
  <si>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</si>
  <si>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</si>
  <si>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</si>
  <si>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</si>
  <si>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</si>
  <si>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</si>
  <si>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</si>
  <si>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</si>
  <si>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</si>
  <si>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</si>
  <si>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Позиции КС-2 — сопоставление по количеству</t>
  </si>
  <si>
    <t>Укажите ID позиции на листе Ввод_работ. КС-2 и АОСР — разные документы; числовая сверка не является приёмкой.</t>
  </si>
  <si>
    <t>ID позиции</t>
  </si>
  <si>
    <t>Наименование</t>
  </si>
  <si>
    <t>Количество КС-2</t>
  </si>
  <si>
    <t>Сумма объёмов АОСР</t>
  </si>
  <si>
    <t>Ед. сопоставления</t>
  </si>
  <si>
    <t>Разница (КС-2 – АОСР)</t>
  </si>
  <si>
    <t>Устройство гидроизоляции кровли — учебная позиция</t>
  </si>
  <si>
    <t>Утепление кровли — учебная позиция</t>
  </si>
  <si>
    <t>Протокол технической проверки — моментальный снимок</t>
  </si>
  <si>
    <t>Заполнено актов: 3 · ошибок: 0 · предупреждений: 1. Для повторной проверки после правок импортируйте XLSX в приложение.</t>
  </si>
  <si>
    <t>Позиция</t>
  </si>
  <si>
    <t>Описание</t>
  </si>
  <si>
    <t>Объём АОСР</t>
  </si>
  <si>
    <t>Объём КС-2</t>
  </si>
  <si>
    <t>Статус</t>
  </si>
  <si>
    <t>12,5</t>
  </si>
  <si>
    <t>quantity_correlates</t>
  </si>
  <si>
    <t>22</t>
  </si>
  <si>
    <t>24</t>
  </si>
  <si>
    <t>difference</t>
  </si>
  <si>
    <t>Тип</t>
  </si>
  <si>
    <t>Номер акта</t>
  </si>
  <si>
    <t>Код</t>
  </si>
  <si>
    <t>Замечание</t>
  </si>
  <si>
    <t>warning</t>
  </si>
  <si>
    <t>qty_difference</t>
  </si>
  <si>
    <t>Позиция КС-2 КС2-02: сумма объёмов АОСР 22 м², в КС-2 24 м². Сверить с инженером и сметчиком.</t>
  </si>
  <si>
    <t>ЧЕРНОВИК — Акт освидетельствования скрытых работ</t>
  </si>
  <si>
    <t>Экспериментальная форма; для подписания необходим утверждённый шаблон и проверка инженера.</t>
  </si>
  <si>
    <t>Предъявленные скрытые работы</t>
  </si>
  <si>
    <t>Начало работ</t>
  </si>
  <si>
    <t>Окончание работ</t>
  </si>
  <si>
    <t>Исполнительная схема</t>
  </si>
  <si>
    <t>Описание схемы</t>
  </si>
  <si>
    <t>Фактический объём</t>
  </si>
  <si>
    <t>Единица</t>
  </si>
  <si>
    <t>Код позиции КС-2</t>
  </si>
  <si>
    <t>Примечания</t>
  </si>
  <si>
    <t>Подписи ставятся участниками после фактического освидетельствования и проверки приложений.</t>
  </si>
  <si>
    <t>Заказчик ______________________</t>
  </si>
  <si>
    <t>Исполнитель ______________________</t>
  </si>
  <si>
    <t>Инструкция / ограничения</t>
  </si>
  <si>
    <t>Редактируйте лист «Реквизиты» и «Ввод_работ».</t>
  </si>
  <si>
    <t>Листы Акт_01…Акт_15 ссылаются на общие данные и таблицу работ.</t>
  </si>
  <si>
    <t>Лист «КС-2» содержит числовую сверку; проверяйте единицы измерения.</t>
  </si>
  <si>
    <t>Лист «Сверка» — моментальный снимок, после правок экспортируйте из приложения заново.</t>
  </si>
  <si>
    <t>Файл — ЧЕРНОВИК, не является утверждённым документом и не подтверждает соблюдение законодательства.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</si>
</sst>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####"/>
  </numFmts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9A3412"/>
    </font>
    <font>
      <b/>
      <color rgb="FFFFFFFF"/>
      <sz val="1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FFF2CC"/>
      </patternFill>
    </fill>
    <fill>
      <patternFill patternType="solid">
        <fgColor rgb="FFDCEAF5"/>
      </patternFill>
    </fill>
    <fill>
      <patternFill patternType="solid">
        <fgColor rgb="FFE7F3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0" fillId="3" borderId="0" xfId="0" applyFill="1" applyAlignment="1">
      <alignment vertical="center" wrapText="1"/>
    </xf>
    <xf numFmtId="0" fontId="2" fillId="0" borderId="0" xfId="0" applyFont="1"/>
    <xf numFmtId="0" fontId="3" fillId="2" borderId="0" xfId="0" applyFont="1" applyFill="1" applyAlignment="1">
      <alignment vertical="center" wrapText="1"/>
    </xf>
    <xf numFmtId="164" fontId="0" fillId="3" borderId="0" xfId="0" applyNumberFormat="1" applyFill="1" applyAlignment="1">
      <alignment vertical="center" wrapText="1"/>
    </xf>
    <xf numFmtId="164" fontId="0" fillId="0" borderId="0" xfId="0" applyNumberFormat="1"/>
    <xf numFmtId="0" fontId="4" fillId="4" borderId="0" xfId="0" applyFont="1" applyFill="1" applyAlignment="1">
      <alignment vertical="center" wrapText="1"/>
    </xf>
    <xf numFmtId="0" fontId="0" fillId="5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4"/>
  <sheetFormatPr defaultRowHeight="15" outlineLevelRow="0" outlineLevelCol="0" x14ac:dyDescent="55"/>
  <cols>
    <col min="1" max="1" width="33" customWidth="1"/>
    <col min="2" max="2" width="34" customWidth="1"/>
    <col min="3" max="4" width="24" customWidth="1"/>
    <col min="5" max="5" width="20" customWidth="1"/>
  </cols>
  <sheetData>
    <row r="1" ht="33" customHeight="1" spans="1:5" x14ac:dyDescent="0.25">
      <c r="A1" s="1" t="s">
        <v>0</v>
      </c>
      <c r="B1" s="1"/>
      <c r="C1" s="1"/>
      <c r="D1" s="1"/>
      <c r="E1" s="1"/>
    </row>
    <row r="3" ht="25" customHeight="1" spans="1:5" x14ac:dyDescent="0.25">
      <c r="A3" t="s">
        <v>1</v>
      </c>
      <c r="B3" s="2" t="s">
        <v>2</v>
      </c>
      <c r="C3" s="2"/>
      <c r="D3" s="2"/>
      <c r="E3" s="2"/>
    </row>
    <row r="4" ht="25" customHeight="1" spans="1:5" x14ac:dyDescent="0.25">
      <c r="A4" t="s">
        <v>3</v>
      </c>
      <c r="B4" s="2" t="s">
        <v>4</v>
      </c>
      <c r="C4" s="2"/>
      <c r="D4" s="2"/>
      <c r="E4" s="2"/>
    </row>
    <row r="5" ht="25" customHeight="1" spans="1:5" x14ac:dyDescent="0.25">
      <c r="A5" t="s">
        <v>5</v>
      </c>
      <c r="B5" s="2" t="s">
        <v>6</v>
      </c>
      <c r="C5" s="2"/>
      <c r="D5" s="2"/>
      <c r="E5" s="2"/>
    </row>
    <row r="6" ht="25" customHeight="1" spans="1:5" x14ac:dyDescent="0.25">
      <c r="A6" t="s">
        <v>7</v>
      </c>
      <c r="B6" s="2" t="s">
        <v>8</v>
      </c>
      <c r="C6" s="2"/>
      <c r="D6" s="2"/>
      <c r="E6" s="2"/>
    </row>
    <row r="7" ht="25" customHeight="1" spans="1:5" x14ac:dyDescent="0.25">
      <c r="A7" t="s">
        <v>9</v>
      </c>
      <c r="B7" s="2" t="s">
        <v>10</v>
      </c>
      <c r="C7" s="2"/>
      <c r="D7" s="2"/>
      <c r="E7" s="2"/>
    </row>
    <row r="8" ht="25" customHeight="1" spans="1:5" x14ac:dyDescent="0.25">
      <c r="A8" t="s">
        <v>11</v>
      </c>
      <c r="B8" s="2" t="s">
        <v>12</v>
      </c>
      <c r="C8" s="2"/>
      <c r="D8" s="2"/>
      <c r="E8" s="2"/>
    </row>
    <row r="9" ht="25" customHeight="1" spans="1:5" x14ac:dyDescent="0.25">
      <c r="A9" t="s">
        <v>13</v>
      </c>
      <c r="B9" s="2" t="s">
        <v>14</v>
      </c>
      <c r="C9" s="2"/>
      <c r="D9" s="2"/>
      <c r="E9" s="2"/>
    </row>
    <row r="10" ht="25" customHeight="1" spans="1:5" x14ac:dyDescent="0.25">
      <c r="A10" t="s">
        <v>15</v>
      </c>
      <c r="B10" s="2" t="s">
        <v>16</v>
      </c>
      <c r="C10" s="2"/>
      <c r="D10" s="2"/>
      <c r="E10" s="2"/>
    </row>
    <row r="11" ht="25" customHeight="1" spans="1:5" x14ac:dyDescent="0.25">
      <c r="A11" t="s">
        <v>17</v>
      </c>
      <c r="B11" s="2" t="s">
        <v>18</v>
      </c>
      <c r="C11" s="2"/>
      <c r="D11" s="2"/>
      <c r="E11" s="2"/>
    </row>
    <row r="12" ht="25" customHeight="1" spans="1:5" x14ac:dyDescent="0.25">
      <c r="A12" t="s">
        <v>19</v>
      </c>
      <c r="B12" s="2" t="s">
        <v>20</v>
      </c>
      <c r="C12" s="2"/>
      <c r="D12" s="2"/>
      <c r="E12" s="2"/>
    </row>
    <row r="14" spans="1:5" x14ac:dyDescent="0.25">
      <c r="A14" s="3" t="s">
        <v>21</v>
      </c>
      <c r="B14" s="3"/>
      <c r="C14" s="3"/>
      <c r="D14" s="3"/>
      <c r="E14" s="3"/>
    </row>
  </sheetData>
  <mergeCells count="12">
    <mergeCell ref="A1:E1"/>
    <mergeCell ref="B3:E3"/>
    <mergeCell ref="B4:E4"/>
    <mergeCell ref="B5:E5"/>
    <mergeCell ref="B6:E6"/>
    <mergeCell ref="B7:E7"/>
    <mergeCell ref="B8:E8"/>
    <mergeCell ref="B9:E9"/>
    <mergeCell ref="B10:E10"/>
    <mergeCell ref="B11:E11"/>
    <mergeCell ref="B12:E12"/>
    <mergeCell ref="A14:E14"/>
  </mergeCells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9"/>
  <sheetViews>
    <sheetView workbookViewId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5" customWidth="1"/>
    <col min="3" max="5" width="14" customWidth="1"/>
    <col min="6" max="6" width="18" customWidth="1"/>
    <col min="7" max="7" width="36" customWidth="1"/>
    <col min="8" max="8" width="65" customWidth="1"/>
    <col min="9" max="9" width="19" customWidth="1"/>
    <col min="10" max="10" width="10" customWidth="1"/>
    <col min="11" max="11" width="17" customWidth="1"/>
    <col min="12" max="12" width="32" customWidth="1"/>
  </cols>
  <sheetData>
    <row r="1" ht="33" customHeight="1" spans="1:12" x14ac:dyDescent="0.25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t="s">
        <v>23</v>
      </c>
      <c r="B2"/>
      <c r="C2"/>
      <c r="D2"/>
      <c r="E2"/>
      <c r="F2"/>
      <c r="G2"/>
      <c r="H2"/>
      <c r="I2"/>
      <c r="J2"/>
      <c r="K2"/>
      <c r="L2"/>
    </row>
    <row r="4" ht="27" customHeight="1" spans="1:12" x14ac:dyDescent="0.25">
      <c r="A4" s="4" t="s">
        <v>24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31</v>
      </c>
      <c r="I4" s="4" t="s">
        <v>32</v>
      </c>
      <c r="J4" s="4" t="s">
        <v>33</v>
      </c>
      <c r="K4" s="4" t="s">
        <v>34</v>
      </c>
      <c r="L4" s="4" t="s">
        <v>35</v>
      </c>
    </row>
    <row r="5" ht="43" customHeight="1" spans="1:12" x14ac:dyDescent="0.25">
      <c r="A5" s="2" t="s">
        <v>36</v>
      </c>
      <c r="B5" s="2" t="s">
        <v>37</v>
      </c>
      <c r="C5" s="2" t="s">
        <v>38</v>
      </c>
      <c r="D5" s="2" t="s">
        <v>39</v>
      </c>
      <c r="E5" s="2" t="s">
        <v>39</v>
      </c>
      <c r="F5" s="2" t="s">
        <v>40</v>
      </c>
      <c r="G5" s="2" t="s">
        <v>41</v>
      </c>
      <c r="H5" s="2" t="s">
        <v>42</v>
      </c>
      <c r="I5" s="5">
        <v>5</v>
      </c>
      <c r="J5" s="2" t="s">
        <v>43</v>
      </c>
      <c r="K5" s="2" t="s">
        <v>44</v>
      </c>
      <c r="L5" s="2" t="s">
        <v>41</v>
      </c>
    </row>
    <row r="6" ht="43" customHeight="1" spans="1:12" x14ac:dyDescent="0.25">
      <c r="A6" s="2" t="s">
        <v>45</v>
      </c>
      <c r="B6" s="2" t="s">
        <v>46</v>
      </c>
      <c r="C6" s="2" t="s">
        <v>47</v>
      </c>
      <c r="D6" s="2" t="s">
        <v>48</v>
      </c>
      <c r="E6" s="2" t="s">
        <v>48</v>
      </c>
      <c r="F6" s="2" t="s">
        <v>49</v>
      </c>
      <c r="G6" s="2" t="s">
        <v>41</v>
      </c>
      <c r="H6" s="2" t="s">
        <v>42</v>
      </c>
      <c r="I6" s="5">
        <v>7.5</v>
      </c>
      <c r="J6" s="2" t="s">
        <v>43</v>
      </c>
      <c r="K6" s="2" t="s">
        <v>44</v>
      </c>
      <c r="L6" s="2" t="s">
        <v>41</v>
      </c>
    </row>
    <row r="7" ht="43" customHeight="1" spans="1:12" x14ac:dyDescent="0.25">
      <c r="A7" s="2" t="s">
        <v>50</v>
      </c>
      <c r="B7" s="2" t="s">
        <v>51</v>
      </c>
      <c r="C7" s="2" t="s">
        <v>48</v>
      </c>
      <c r="D7" s="2" t="s">
        <v>52</v>
      </c>
      <c r="E7" s="2" t="s">
        <v>52</v>
      </c>
      <c r="F7" s="2" t="s">
        <v>53</v>
      </c>
      <c r="G7" s="2" t="s">
        <v>41</v>
      </c>
      <c r="H7" s="2" t="s">
        <v>54</v>
      </c>
      <c r="I7" s="5">
        <v>22</v>
      </c>
      <c r="J7" s="2" t="s">
        <v>43</v>
      </c>
      <c r="K7" s="2" t="s">
        <v>55</v>
      </c>
      <c r="L7" s="2" t="s">
        <v>41</v>
      </c>
    </row>
    <row r="8" ht="43" customHeight="1" spans="1:12" x14ac:dyDescent="0.25">
      <c r="A8" s="2" t="s">
        <v>56</v>
      </c>
      <c r="B8" s="2" t="s">
        <v>41</v>
      </c>
      <c r="C8" s="2" t="s">
        <v>41</v>
      </c>
      <c r="D8" s="2" t="s">
        <v>41</v>
      </c>
      <c r="E8" s="2" t="s">
        <v>41</v>
      </c>
      <c r="F8" s="2" t="s">
        <v>41</v>
      </c>
      <c r="G8" s="2" t="s">
        <v>41</v>
      </c>
      <c r="H8" s="2" t="s">
        <v>41</v>
      </c>
      <c r="I8" s="5" t="s">
        <v>41</v>
      </c>
      <c r="J8" s="2" t="s">
        <v>41</v>
      </c>
      <c r="K8" s="2" t="s">
        <v>41</v>
      </c>
      <c r="L8" s="2" t="s">
        <v>41</v>
      </c>
    </row>
    <row r="9" ht="43" customHeight="1" spans="1:12" x14ac:dyDescent="0.25">
      <c r="A9" s="2" t="s">
        <v>57</v>
      </c>
      <c r="B9" s="2" t="s">
        <v>41</v>
      </c>
      <c r="C9" s="2" t="s">
        <v>41</v>
      </c>
      <c r="D9" s="2" t="s">
        <v>41</v>
      </c>
      <c r="E9" s="2" t="s">
        <v>41</v>
      </c>
      <c r="F9" s="2" t="s">
        <v>41</v>
      </c>
      <c r="G9" s="2" t="s">
        <v>41</v>
      </c>
      <c r="H9" s="2" t="s">
        <v>41</v>
      </c>
      <c r="I9" s="5" t="s">
        <v>41</v>
      </c>
      <c r="J9" s="2" t="s">
        <v>41</v>
      </c>
      <c r="K9" s="2" t="s">
        <v>41</v>
      </c>
      <c r="L9" s="2" t="s">
        <v>41</v>
      </c>
    </row>
    <row r="10" ht="43" customHeight="1" spans="1:12" x14ac:dyDescent="0.25">
      <c r="A10" s="2" t="s">
        <v>58</v>
      </c>
      <c r="B10" s="2" t="s">
        <v>41</v>
      </c>
      <c r="C10" s="2" t="s">
        <v>41</v>
      </c>
      <c r="D10" s="2" t="s">
        <v>41</v>
      </c>
      <c r="E10" s="2" t="s">
        <v>41</v>
      </c>
      <c r="F10" s="2" t="s">
        <v>41</v>
      </c>
      <c r="G10" s="2" t="s">
        <v>41</v>
      </c>
      <c r="H10" s="2" t="s">
        <v>41</v>
      </c>
      <c r="I10" s="5" t="s">
        <v>41</v>
      </c>
      <c r="J10" s="2" t="s">
        <v>41</v>
      </c>
      <c r="K10" s="2" t="s">
        <v>41</v>
      </c>
      <c r="L10" s="2" t="s">
        <v>41</v>
      </c>
    </row>
    <row r="11" ht="43" customHeight="1" spans="1:12" x14ac:dyDescent="0.25">
      <c r="A11" s="2" t="s">
        <v>59</v>
      </c>
      <c r="B11" s="2" t="s">
        <v>41</v>
      </c>
      <c r="C11" s="2" t="s">
        <v>41</v>
      </c>
      <c r="D11" s="2" t="s">
        <v>41</v>
      </c>
      <c r="E11" s="2" t="s">
        <v>41</v>
      </c>
      <c r="F11" s="2" t="s">
        <v>41</v>
      </c>
      <c r="G11" s="2" t="s">
        <v>41</v>
      </c>
      <c r="H11" s="2" t="s">
        <v>41</v>
      </c>
      <c r="I11" s="5" t="s">
        <v>41</v>
      </c>
      <c r="J11" s="2" t="s">
        <v>41</v>
      </c>
      <c r="K11" s="2" t="s">
        <v>41</v>
      </c>
      <c r="L11" s="2" t="s">
        <v>41</v>
      </c>
    </row>
    <row r="12" ht="43" customHeight="1" spans="1:12" x14ac:dyDescent="0.25">
      <c r="A12" s="2" t="s">
        <v>60</v>
      </c>
      <c r="B12" s="2" t="s">
        <v>41</v>
      </c>
      <c r="C12" s="2" t="s">
        <v>41</v>
      </c>
      <c r="D12" s="2" t="s">
        <v>41</v>
      </c>
      <c r="E12" s="2" t="s">
        <v>41</v>
      </c>
      <c r="F12" s="2" t="s">
        <v>41</v>
      </c>
      <c r="G12" s="2" t="s">
        <v>41</v>
      </c>
      <c r="H12" s="2" t="s">
        <v>41</v>
      </c>
      <c r="I12" s="5" t="s">
        <v>41</v>
      </c>
      <c r="J12" s="2" t="s">
        <v>41</v>
      </c>
      <c r="K12" s="2" t="s">
        <v>41</v>
      </c>
      <c r="L12" s="2" t="s">
        <v>41</v>
      </c>
    </row>
    <row r="13" ht="43" customHeight="1" spans="1:12" x14ac:dyDescent="0.25">
      <c r="A13" s="2" t="s">
        <v>61</v>
      </c>
      <c r="B13" s="2" t="s">
        <v>41</v>
      </c>
      <c r="C13" s="2" t="s">
        <v>41</v>
      </c>
      <c r="D13" s="2" t="s">
        <v>41</v>
      </c>
      <c r="E13" s="2" t="s">
        <v>41</v>
      </c>
      <c r="F13" s="2" t="s">
        <v>41</v>
      </c>
      <c r="G13" s="2" t="s">
        <v>41</v>
      </c>
      <c r="H13" s="2" t="s">
        <v>41</v>
      </c>
      <c r="I13" s="5" t="s">
        <v>41</v>
      </c>
      <c r="J13" s="2" t="s">
        <v>41</v>
      </c>
      <c r="K13" s="2" t="s">
        <v>41</v>
      </c>
      <c r="L13" s="2" t="s">
        <v>41</v>
      </c>
    </row>
    <row r="14" ht="43" customHeight="1" spans="1:12" x14ac:dyDescent="0.25">
      <c r="A14" s="2" t="s">
        <v>62</v>
      </c>
      <c r="B14" s="2" t="s">
        <v>41</v>
      </c>
      <c r="C14" s="2" t="s">
        <v>41</v>
      </c>
      <c r="D14" s="2" t="s">
        <v>41</v>
      </c>
      <c r="E14" s="2" t="s">
        <v>41</v>
      </c>
      <c r="F14" s="2" t="s">
        <v>41</v>
      </c>
      <c r="G14" s="2" t="s">
        <v>41</v>
      </c>
      <c r="H14" s="2" t="s">
        <v>41</v>
      </c>
      <c r="I14" s="5" t="s">
        <v>41</v>
      </c>
      <c r="J14" s="2" t="s">
        <v>41</v>
      </c>
      <c r="K14" s="2" t="s">
        <v>41</v>
      </c>
      <c r="L14" s="2" t="s">
        <v>41</v>
      </c>
    </row>
    <row r="15" ht="43" customHeight="1" spans="1:12" x14ac:dyDescent="0.25">
      <c r="A15" s="2" t="s">
        <v>63</v>
      </c>
      <c r="B15" s="2" t="s">
        <v>41</v>
      </c>
      <c r="C15" s="2" t="s">
        <v>41</v>
      </c>
      <c r="D15" s="2" t="s">
        <v>41</v>
      </c>
      <c r="E15" s="2" t="s">
        <v>41</v>
      </c>
      <c r="F15" s="2" t="s">
        <v>41</v>
      </c>
      <c r="G15" s="2" t="s">
        <v>41</v>
      </c>
      <c r="H15" s="2" t="s">
        <v>41</v>
      </c>
      <c r="I15" s="5" t="s">
        <v>41</v>
      </c>
      <c r="J15" s="2" t="s">
        <v>41</v>
      </c>
      <c r="K15" s="2" t="s">
        <v>41</v>
      </c>
      <c r="L15" s="2" t="s">
        <v>41</v>
      </c>
    </row>
    <row r="16" ht="43" customHeight="1" spans="1:12" x14ac:dyDescent="0.25">
      <c r="A16" s="2" t="s">
        <v>64</v>
      </c>
      <c r="B16" s="2" t="s">
        <v>41</v>
      </c>
      <c r="C16" s="2" t="s">
        <v>41</v>
      </c>
      <c r="D16" s="2" t="s">
        <v>41</v>
      </c>
      <c r="E16" s="2" t="s">
        <v>41</v>
      </c>
      <c r="F16" s="2" t="s">
        <v>41</v>
      </c>
      <c r="G16" s="2" t="s">
        <v>41</v>
      </c>
      <c r="H16" s="2" t="s">
        <v>41</v>
      </c>
      <c r="I16" s="5" t="s">
        <v>41</v>
      </c>
      <c r="J16" s="2" t="s">
        <v>41</v>
      </c>
      <c r="K16" s="2" t="s">
        <v>41</v>
      </c>
      <c r="L16" s="2" t="s">
        <v>41</v>
      </c>
    </row>
    <row r="17" ht="43" customHeight="1" spans="1:12" x14ac:dyDescent="0.25">
      <c r="A17" s="2" t="s">
        <v>65</v>
      </c>
      <c r="B17" s="2" t="s">
        <v>41</v>
      </c>
      <c r="C17" s="2" t="s">
        <v>41</v>
      </c>
      <c r="D17" s="2" t="s">
        <v>41</v>
      </c>
      <c r="E17" s="2" t="s">
        <v>41</v>
      </c>
      <c r="F17" s="2" t="s">
        <v>41</v>
      </c>
      <c r="G17" s="2" t="s">
        <v>41</v>
      </c>
      <c r="H17" s="2" t="s">
        <v>41</v>
      </c>
      <c r="I17" s="5" t="s">
        <v>41</v>
      </c>
      <c r="J17" s="2" t="s">
        <v>41</v>
      </c>
      <c r="K17" s="2" t="s">
        <v>41</v>
      </c>
      <c r="L17" s="2" t="s">
        <v>41</v>
      </c>
    </row>
    <row r="18" ht="43" customHeight="1" spans="1:12" x14ac:dyDescent="0.25">
      <c r="A18" s="2" t="s">
        <v>66</v>
      </c>
      <c r="B18" s="2" t="s">
        <v>41</v>
      </c>
      <c r="C18" s="2" t="s">
        <v>41</v>
      </c>
      <c r="D18" s="2" t="s">
        <v>41</v>
      </c>
      <c r="E18" s="2" t="s">
        <v>41</v>
      </c>
      <c r="F18" s="2" t="s">
        <v>41</v>
      </c>
      <c r="G18" s="2" t="s">
        <v>41</v>
      </c>
      <c r="H18" s="2" t="s">
        <v>41</v>
      </c>
      <c r="I18" s="5" t="s">
        <v>41</v>
      </c>
      <c r="J18" s="2" t="s">
        <v>41</v>
      </c>
      <c r="K18" s="2" t="s">
        <v>41</v>
      </c>
      <c r="L18" s="2" t="s">
        <v>41</v>
      </c>
    </row>
    <row r="19" ht="43" customHeight="1" spans="1:12" x14ac:dyDescent="0.25">
      <c r="A19" s="2" t="s">
        <v>67</v>
      </c>
      <c r="B19" s="2" t="s">
        <v>41</v>
      </c>
      <c r="C19" s="2" t="s">
        <v>41</v>
      </c>
      <c r="D19" s="2" t="s">
        <v>41</v>
      </c>
      <c r="E19" s="2" t="s">
        <v>41</v>
      </c>
      <c r="F19" s="2" t="s">
        <v>41</v>
      </c>
      <c r="G19" s="2" t="s">
        <v>41</v>
      </c>
      <c r="H19" s="2" t="s">
        <v>41</v>
      </c>
      <c r="I19" s="5" t="s">
        <v>41</v>
      </c>
      <c r="J19" s="2" t="s">
        <v>41</v>
      </c>
      <c r="K19" s="2" t="s">
        <v>41</v>
      </c>
      <c r="L19" s="2" t="s">
        <v>41</v>
      </c>
    </row>
  </sheetData>
  <autoFilter ref="A4:L19"/>
  <mergeCells count="2">
    <mergeCell ref="A1:L1"/>
    <mergeCell ref="A2:L2"/>
  </mergeCells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57" customWidth="1"/>
    <col min="3" max="3" width="20" customWidth="1"/>
    <col min="4" max="4" width="12" customWidth="1"/>
    <col min="5" max="5" width="23" customWidth="1"/>
    <col min="6" max="6" width="22" customWidth="1"/>
    <col min="7" max="7" width="24" customWidth="1"/>
  </cols>
  <sheetData>
    <row r="1" ht="33" customHeight="1" spans="1:7" x14ac:dyDescent="0.25">
      <c r="A1" s="1" t="s">
        <v>68</v>
      </c>
      <c r="B1" s="1"/>
      <c r="C1" s="1"/>
      <c r="D1" s="1"/>
      <c r="E1" s="1"/>
      <c r="F1" s="1"/>
      <c r="G1" s="1"/>
    </row>
    <row r="2" spans="1:7" x14ac:dyDescent="0.25">
      <c r="A2" t="s">
        <v>69</v>
      </c>
      <c r="B2"/>
      <c r="C2"/>
      <c r="D2"/>
      <c r="E2"/>
      <c r="F2"/>
      <c r="G2"/>
    </row>
    <row r="4" ht="27" customHeight="1" spans="1:7" x14ac:dyDescent="0.25">
      <c r="A4" s="4" t="s">
        <v>70</v>
      </c>
      <c r="B4" s="4" t="s">
        <v>71</v>
      </c>
      <c r="C4" s="4" t="s">
        <v>72</v>
      </c>
      <c r="D4" s="4" t="s">
        <v>33</v>
      </c>
      <c r="E4" s="4" t="s">
        <v>73</v>
      </c>
      <c r="F4" s="4" t="s">
        <v>74</v>
      </c>
      <c r="G4" s="4" t="s">
        <v>75</v>
      </c>
    </row>
    <row r="5" ht="27" customHeight="1" spans="1:7" x14ac:dyDescent="0.25">
      <c r="A5" t="s">
        <v>44</v>
      </c>
      <c r="B5" t="s">
        <v>76</v>
      </c>
      <c r="C5" s="6">
        <v>12.5</v>
      </c>
      <c r="D5" t="s">
        <v>43</v>
      </c>
      <c r="E5">
        <f>SUMIF(Ввод_работ!$K$5:$K$19,A5,Ввод_работ!$I$5:$I$19)</f>
        <v>12.5</v>
      </c>
      <c r="F5" t="s">
        <v>43</v>
      </c>
      <c r="G5">
        <f>C5-E5</f>
        <v>0</v>
      </c>
    </row>
    <row r="6" ht="27" customHeight="1" spans="1:7" x14ac:dyDescent="0.25">
      <c r="A6" t="s">
        <v>55</v>
      </c>
      <c r="B6" t="s">
        <v>77</v>
      </c>
      <c r="C6" s="6">
        <v>24</v>
      </c>
      <c r="D6" t="s">
        <v>43</v>
      </c>
      <c r="E6">
        <f>SUMIF(Ввод_работ!$K$5:$K$19,A6,Ввод_работ!$I$5:$I$19)</f>
        <v>22</v>
      </c>
      <c r="F6" t="s">
        <v>43</v>
      </c>
      <c r="G6">
        <f>C6-E6</f>
        <v>2</v>
      </c>
    </row>
  </sheetData>
  <mergeCells count="2">
    <mergeCell ref="A1:G1"/>
    <mergeCell ref="A2:G2"/>
  </mergeCells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"/>
  <sheetFormatPr defaultRowHeight="15" outlineLevelRow="0" outlineLevelCol="0" x14ac:dyDescent="55"/>
  <cols>
    <col min="1" max="1" width="18" customWidth="1"/>
    <col min="2" max="2" width="45" customWidth="1"/>
    <col min="3" max="3" width="22" customWidth="1"/>
    <col min="4" max="4" width="24" customWidth="1"/>
    <col min="5" max="5" width="17" customWidth="1"/>
    <col min="6" max="6" width="53" customWidth="1"/>
  </cols>
  <sheetData>
    <row r="1" ht="33" customHeight="1" spans="1:6" x14ac:dyDescent="0.25">
      <c r="A1" s="1" t="s">
        <v>78</v>
      </c>
      <c r="B1" s="1"/>
      <c r="C1" s="1"/>
      <c r="D1" s="1"/>
      <c r="E1" s="1"/>
      <c r="F1" s="1"/>
    </row>
    <row r="2" spans="1:6" x14ac:dyDescent="0.25">
      <c r="A2" t="s">
        <v>79</v>
      </c>
      <c r="B2"/>
      <c r="C2"/>
      <c r="D2"/>
      <c r="E2"/>
      <c r="F2"/>
    </row>
    <row r="4" ht="27" customHeight="1" spans="1:6" x14ac:dyDescent="0.25">
      <c r="A4" s="4" t="s">
        <v>80</v>
      </c>
      <c r="B4" s="4" t="s">
        <v>81</v>
      </c>
      <c r="C4" s="4" t="s">
        <v>82</v>
      </c>
      <c r="D4" s="4" t="s">
        <v>83</v>
      </c>
      <c r="E4" s="4" t="s">
        <v>33</v>
      </c>
      <c r="F4" s="4" t="s">
        <v>84</v>
      </c>
    </row>
    <row r="5" ht="27" customHeight="1" spans="1:6" x14ac:dyDescent="0.25">
      <c r="A5" t="s">
        <v>44</v>
      </c>
      <c r="B5" t="s">
        <v>76</v>
      </c>
      <c r="C5" t="s">
        <v>85</v>
      </c>
      <c r="D5" t="s">
        <v>85</v>
      </c>
      <c r="E5" t="s">
        <v>43</v>
      </c>
      <c r="F5" t="s">
        <v>86</v>
      </c>
    </row>
    <row r="6" ht="27" customHeight="1" spans="1:6" x14ac:dyDescent="0.25">
      <c r="A6" t="s">
        <v>55</v>
      </c>
      <c r="B6" t="s">
        <v>77</v>
      </c>
      <c r="C6" t="s">
        <v>87</v>
      </c>
      <c r="D6" t="s">
        <v>88</v>
      </c>
      <c r="E6" t="s">
        <v>43</v>
      </c>
      <c r="F6" t="s">
        <v>89</v>
      </c>
    </row>
    <row r="9" ht="27" customHeight="1" spans="1:4" x14ac:dyDescent="0.25">
      <c r="A9" s="4" t="s">
        <v>90</v>
      </c>
      <c r="B9" s="4" t="s">
        <v>91</v>
      </c>
      <c r="C9" s="4" t="s">
        <v>92</v>
      </c>
      <c r="D9" s="4" t="s">
        <v>93</v>
      </c>
    </row>
    <row r="10" ht="27" customHeight="1" spans="1:4" x14ac:dyDescent="0.25">
      <c r="A10" t="s">
        <v>94</v>
      </c>
      <c r="B10" t="s">
        <v>41</v>
      </c>
      <c r="C10" t="s">
        <v>95</v>
      </c>
      <c r="D10" t="s">
        <v>96</v>
      </c>
    </row>
  </sheetData>
  <mergeCells count="2">
    <mergeCell ref="A1:F1"/>
    <mergeCell ref="A2:F2"/>
  </mergeCells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"/>
  <sheetViews>
    <sheetView workbookViewId="0" showGridLines="0"/>
  </sheetViews>
  <sheetFormatPr defaultRowHeight="15" outlineLevelRow="0" outlineLevelCol="0" x14ac:dyDescent="55"/>
  <cols>
    <col min="1" max="8" width="17" customWidth="1"/>
  </cols>
  <sheetData>
    <row r="1" ht="33" customHeight="1" spans="1:8" x14ac:dyDescent="0.25">
      <c r="A1" s="1" t="s">
        <v>97</v>
      </c>
      <c r="B1" s="1"/>
      <c r="C1" s="1"/>
      <c r="D1" s="1"/>
      <c r="E1" s="1"/>
      <c r="F1" s="1"/>
      <c r="G1" s="1"/>
      <c r="H1" s="1"/>
    </row>
    <row r="2" spans="1:8" x14ac:dyDescent="0.25">
      <c r="A2" t="s">
        <v>98</v>
      </c>
      <c r="B2"/>
      <c r="C2"/>
      <c r="D2"/>
      <c r="E2"/>
      <c r="F2"/>
      <c r="G2"/>
      <c r="H2"/>
    </row>
    <row r="4" ht="34" customHeight="1" spans="1:8" x14ac:dyDescent="0.25">
      <c r="A4" s="7" t="s">
        <v>91</v>
      </c>
      <c r="B4" s="7"/>
      <c r="C4" s="7"/>
      <c r="D4" s="8" t="str">
        <f>Ввод_работ!A5</f>
        <v>1.0</v>
      </c>
      <c r="E4" s="8"/>
      <c r="F4" s="8"/>
      <c r="G4" s="8"/>
      <c r="H4" s="8"/>
    </row>
    <row r="5" ht="34" customHeight="1" spans="1:8" x14ac:dyDescent="0.25">
      <c r="A5" s="7" t="s">
        <v>1</v>
      </c>
      <c r="B5" s="7"/>
      <c r="C5" s="7"/>
      <c r="D5" s="8" t="str">
        <f>Реквизиты!B3</f>
        <v>Учебный объект (вымышленно)</v>
      </c>
      <c r="E5" s="8"/>
      <c r="F5" s="8"/>
      <c r="G5" s="8"/>
      <c r="H5" s="8"/>
    </row>
    <row r="6" ht="34" customHeight="1" spans="1:8" x14ac:dyDescent="0.25">
      <c r="A6" s="7" t="s">
        <v>5</v>
      </c>
      <c r="B6" s="7"/>
      <c r="C6" s="7"/>
      <c r="D6" s="8" t="str">
        <f>Реквизиты!B5</f>
        <v>Учебная улица, дом 1, Примерный город</v>
      </c>
      <c r="E6" s="8"/>
      <c r="F6" s="8"/>
      <c r="G6" s="8"/>
      <c r="H6" s="8"/>
    </row>
    <row r="7" ht="34" customHeight="1" spans="1:8" x14ac:dyDescent="0.25">
      <c r="A7" s="7" t="s">
        <v>7</v>
      </c>
      <c r="B7" s="7"/>
      <c r="C7" s="7"/>
      <c r="D7" s="8" t="str">
        <f>Реквизиты!B6</f>
        <v>Учебный заказчик</v>
      </c>
      <c r="E7" s="8"/>
      <c r="F7" s="8"/>
      <c r="G7" s="8"/>
      <c r="H7" s="8"/>
    </row>
    <row r="8" ht="34" customHeight="1" spans="1:8" x14ac:dyDescent="0.25">
      <c r="A8" s="7" t="s">
        <v>9</v>
      </c>
      <c r="B8" s="7"/>
      <c r="C8" s="7"/>
      <c r="D8" s="8" t="str">
        <f>Реквизиты!B7</f>
        <v>ООО «Пример-Кровля» (вымышленно)</v>
      </c>
      <c r="E8" s="8"/>
      <c r="F8" s="8"/>
      <c r="G8" s="8"/>
      <c r="H8" s="8"/>
    </row>
    <row r="9" ht="34" customHeight="1" spans="1:8" x14ac:dyDescent="0.25">
      <c r="A9" s="7" t="s">
        <v>11</v>
      </c>
      <c r="B9" s="7"/>
      <c r="C9" s="7"/>
      <c r="D9" s="8" t="str">
        <f>Реквизиты!B8</f>
        <v>Проектное бюро «Образец» (вымышленно)</v>
      </c>
      <c r="E9" s="8"/>
      <c r="F9" s="8"/>
      <c r="G9" s="8"/>
      <c r="H9" s="8"/>
    </row>
    <row r="10" ht="34" customHeight="1" spans="1:8" x14ac:dyDescent="0.25">
      <c r="A10" s="7" t="s">
        <v>28</v>
      </c>
      <c r="B10" s="7"/>
      <c r="C10" s="7"/>
      <c r="D10" s="8" t="str">
        <f>Ввод_работ!E5</f>
        <v>2026-10-02</v>
      </c>
      <c r="E10" s="8"/>
      <c r="F10" s="8"/>
      <c r="G10" s="8"/>
      <c r="H10" s="8"/>
    </row>
    <row r="11" ht="62" customHeight="1" spans="1:8" x14ac:dyDescent="0.25">
      <c r="A11" s="7" t="s">
        <v>99</v>
      </c>
      <c r="B11" s="7"/>
      <c r="C11" s="7"/>
      <c r="D11" s="8" t="str">
        <f>Ввод_работ!B5</f>
        <v>Гидроизоляция кровли, зона А (демо)</v>
      </c>
      <c r="E11" s="8"/>
      <c r="F11" s="8"/>
      <c r="G11" s="8"/>
      <c r="H11" s="8"/>
    </row>
    <row r="12" ht="34" customHeight="1" spans="1:8" x14ac:dyDescent="0.25">
      <c r="A12" s="7" t="s">
        <v>100</v>
      </c>
      <c r="B12" s="7"/>
      <c r="C12" s="7"/>
      <c r="D12" s="8" t="str">
        <f>Ввод_работ!C5</f>
        <v>2026-10-01</v>
      </c>
      <c r="E12" s="8"/>
      <c r="F12" s="8"/>
      <c r="G12" s="8"/>
      <c r="H12" s="8"/>
    </row>
    <row r="13" ht="34" customHeight="1" spans="1:8" x14ac:dyDescent="0.25">
      <c r="A13" s="7" t="s">
        <v>101</v>
      </c>
      <c r="B13" s="7"/>
      <c r="C13" s="7"/>
      <c r="D13" s="8" t="str">
        <f>Ввод_работ!D5</f>
        <v>2026-10-02</v>
      </c>
      <c r="E13" s="8"/>
      <c r="F13" s="8"/>
      <c r="G13" s="8"/>
      <c r="H13" s="8"/>
    </row>
    <row r="14" ht="34" customHeight="1" spans="1:8" x14ac:dyDescent="0.25">
      <c r="A14" s="7" t="s">
        <v>102</v>
      </c>
      <c r="B14" s="7"/>
      <c r="C14" s="7"/>
      <c r="D14" s="8" t="str">
        <f>Ввод_работ!F5</f>
        <v>ИС-01</v>
      </c>
      <c r="E14" s="8"/>
      <c r="F14" s="8"/>
      <c r="G14" s="8"/>
      <c r="H14" s="8"/>
    </row>
    <row r="15" ht="34" customHeight="1" spans="1:8" x14ac:dyDescent="0.25">
      <c r="A15" s="7" t="s">
        <v>103</v>
      </c>
      <c r="B15" s="7"/>
      <c r="C15" s="7"/>
      <c r="D15" s="8" t="str">
        <f>Ввод_работ!G5</f>
        <v/>
      </c>
      <c r="E15" s="8"/>
      <c r="F15" s="8"/>
      <c r="G15" s="8"/>
      <c r="H15" s="8"/>
    </row>
    <row r="16" ht="82" customHeight="1" spans="1:8" x14ac:dyDescent="0.25">
      <c r="A16" s="7" t="s">
        <v>31</v>
      </c>
      <c r="B16" s="7"/>
      <c r="C16" s="7"/>
      <c r="D16" s="8" t="str">
        <f>Ввод_работ!H5</f>
        <v>Учебный сертификат № DEMO-001 (не реальный документ)</v>
      </c>
      <c r="E16" s="8"/>
      <c r="F16" s="8"/>
      <c r="G16" s="8"/>
      <c r="H16" s="8"/>
    </row>
    <row r="17" ht="34" customHeight="1" spans="1:8" x14ac:dyDescent="0.25">
      <c r="A17" s="7" t="s">
        <v>104</v>
      </c>
      <c r="B17" s="7"/>
      <c r="C17" s="7"/>
      <c r="D17" s="8">
        <f>Ввод_работ!I5</f>
        <v>5</v>
      </c>
      <c r="E17" s="8"/>
      <c r="F17" s="8"/>
      <c r="G17" s="8"/>
      <c r="H17" s="8"/>
    </row>
    <row r="18" ht="34" customHeight="1" spans="1:8" x14ac:dyDescent="0.25">
      <c r="A18" s="7" t="s">
        <v>105</v>
      </c>
      <c r="B18" s="7"/>
      <c r="C18" s="7"/>
      <c r="D18" s="8" t="str">
        <f>Ввод_работ!J5</f>
        <v>м²</v>
      </c>
      <c r="E18" s="8"/>
      <c r="F18" s="8"/>
      <c r="G18" s="8"/>
      <c r="H18" s="8"/>
    </row>
    <row r="19" ht="34" customHeight="1" spans="1:8" x14ac:dyDescent="0.25">
      <c r="A19" s="7" t="s">
        <v>106</v>
      </c>
      <c r="B19" s="7"/>
      <c r="C19" s="7"/>
      <c r="D19" s="8" t="str">
        <f>Ввод_работ!K5</f>
        <v>КС2-01</v>
      </c>
      <c r="E19" s="8"/>
      <c r="F19" s="8"/>
      <c r="G19" s="8"/>
      <c r="H19" s="8"/>
    </row>
    <row r="20" ht="34" customHeight="1" spans="1:8" x14ac:dyDescent="0.25">
      <c r="A20" s="7" t="s">
        <v>107</v>
      </c>
      <c r="B20" s="7"/>
      <c r="C20" s="7"/>
      <c r="D20" s="8" t="str">
        <f>Ввод_работ!L5</f>
        <v/>
      </c>
      <c r="E20" s="8"/>
      <c r="F20" s="8"/>
      <c r="G20" s="8"/>
      <c r="H20" s="8"/>
    </row>
    <row r="23" spans="1:8" x14ac:dyDescent="0.25">
      <c r="A23" t="s">
        <v>108</v>
      </c>
      <c r="B23"/>
      <c r="C23"/>
      <c r="D23"/>
      <c r="E23"/>
      <c r="F23"/>
      <c r="G23"/>
      <c r="H23"/>
    </row>
    <row r="25" spans="1:8" x14ac:dyDescent="0.25">
      <c r="A25" t="s">
        <v>109</v>
      </c>
      <c r="B25"/>
      <c r="C25"/>
      <c r="D25"/>
      <c r="E25" t="s">
        <v>110</v>
      </c>
      <c r="F25"/>
      <c r="G25"/>
      <c r="H25"/>
    </row>
  </sheetData>
  <mergeCells count="39">
    <mergeCell ref="A1:H1"/>
    <mergeCell ref="A2:H2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A10:C10"/>
    <mergeCell ref="D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C15"/>
    <mergeCell ref="D15:H15"/>
    <mergeCell ref="A16:C16"/>
    <mergeCell ref="D16:H16"/>
    <mergeCell ref="A17:C17"/>
    <mergeCell ref="D17:H17"/>
    <mergeCell ref="A18:C18"/>
    <mergeCell ref="D18:H18"/>
    <mergeCell ref="A19:C19"/>
    <mergeCell ref="D19:H19"/>
    <mergeCell ref="A20:C20"/>
    <mergeCell ref="D20:H20"/>
    <mergeCell ref="A23:H23"/>
    <mergeCell ref="A25:D25"/>
    <mergeCell ref="E25:H25"/>
  </mergeCells>
  <pageSetup paperSize="9" orientation="portrait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"/>
  <sheetViews>
    <sheetView workbookViewId="0" showGridLines="0"/>
  </sheetViews>
  <sheetFormatPr defaultRowHeight="15" outlineLevelRow="0" outlineLevelCol="0" x14ac:dyDescent="55"/>
  <cols>
    <col min="1" max="8" width="17" customWidth="1"/>
  </cols>
  <sheetData>
    <row r="1" ht="33" customHeight="1" spans="1:8" x14ac:dyDescent="0.25">
      <c r="A1" s="1" t="s">
        <v>97</v>
      </c>
      <c r="B1" s="1"/>
      <c r="C1" s="1"/>
      <c r="D1" s="1"/>
      <c r="E1" s="1"/>
      <c r="F1" s="1"/>
      <c r="G1" s="1"/>
      <c r="H1" s="1"/>
    </row>
    <row r="2" spans="1:8" x14ac:dyDescent="0.25">
      <c r="A2" t="s">
        <v>98</v>
      </c>
      <c r="B2"/>
      <c r="C2"/>
      <c r="D2"/>
      <c r="E2"/>
      <c r="F2"/>
      <c r="G2"/>
      <c r="H2"/>
    </row>
    <row r="4" ht="34" customHeight="1" spans="1:8" x14ac:dyDescent="0.25">
      <c r="A4" s="7" t="s">
        <v>91</v>
      </c>
      <c r="B4" s="7"/>
      <c r="C4" s="7"/>
      <c r="D4" s="8" t="str">
        <f>Ввод_работ!A6</f>
        <v>1.1</v>
      </c>
      <c r="E4" s="8"/>
      <c r="F4" s="8"/>
      <c r="G4" s="8"/>
      <c r="H4" s="8"/>
    </row>
    <row r="5" ht="34" customHeight="1" spans="1:8" x14ac:dyDescent="0.25">
      <c r="A5" s="7" t="s">
        <v>1</v>
      </c>
      <c r="B5" s="7"/>
      <c r="C5" s="7"/>
      <c r="D5" s="8" t="str">
        <f>Реквизиты!B3</f>
        <v>Учебный объект (вымышленно)</v>
      </c>
      <c r="E5" s="8"/>
      <c r="F5" s="8"/>
      <c r="G5" s="8"/>
      <c r="H5" s="8"/>
    </row>
    <row r="6" ht="34" customHeight="1" spans="1:8" x14ac:dyDescent="0.25">
      <c r="A6" s="7" t="s">
        <v>5</v>
      </c>
      <c r="B6" s="7"/>
      <c r="C6" s="7"/>
      <c r="D6" s="8" t="str">
        <f>Реквизиты!B5</f>
        <v>Учебная улица, дом 1, Примерный город</v>
      </c>
      <c r="E6" s="8"/>
      <c r="F6" s="8"/>
      <c r="G6" s="8"/>
      <c r="H6" s="8"/>
    </row>
    <row r="7" ht="34" customHeight="1" spans="1:8" x14ac:dyDescent="0.25">
      <c r="A7" s="7" t="s">
        <v>7</v>
      </c>
      <c r="B7" s="7"/>
      <c r="C7" s="7"/>
      <c r="D7" s="8" t="str">
        <f>Реквизиты!B6</f>
        <v>Учебный заказчик</v>
      </c>
      <c r="E7" s="8"/>
      <c r="F7" s="8"/>
      <c r="G7" s="8"/>
      <c r="H7" s="8"/>
    </row>
    <row r="8" ht="34" customHeight="1" spans="1:8" x14ac:dyDescent="0.25">
      <c r="A8" s="7" t="s">
        <v>9</v>
      </c>
      <c r="B8" s="7"/>
      <c r="C8" s="7"/>
      <c r="D8" s="8" t="str">
        <f>Реквизиты!B7</f>
        <v>ООО «Пример-Кровля» (вымышленно)</v>
      </c>
      <c r="E8" s="8"/>
      <c r="F8" s="8"/>
      <c r="G8" s="8"/>
      <c r="H8" s="8"/>
    </row>
    <row r="9" ht="34" customHeight="1" spans="1:8" x14ac:dyDescent="0.25">
      <c r="A9" s="7" t="s">
        <v>11</v>
      </c>
      <c r="B9" s="7"/>
      <c r="C9" s="7"/>
      <c r="D9" s="8" t="str">
        <f>Реквизиты!B8</f>
        <v>Проектное бюро «Образец» (вымышленно)</v>
      </c>
      <c r="E9" s="8"/>
      <c r="F9" s="8"/>
      <c r="G9" s="8"/>
      <c r="H9" s="8"/>
    </row>
    <row r="10" ht="34" customHeight="1" spans="1:8" x14ac:dyDescent="0.25">
      <c r="A10" s="7" t="s">
        <v>28</v>
      </c>
      <c r="B10" s="7"/>
      <c r="C10" s="7"/>
      <c r="D10" s="8" t="str">
        <f>Ввод_работ!E6</f>
        <v>2026-10-04</v>
      </c>
      <c r="E10" s="8"/>
      <c r="F10" s="8"/>
      <c r="G10" s="8"/>
      <c r="H10" s="8"/>
    </row>
    <row r="11" ht="62" customHeight="1" spans="1:8" x14ac:dyDescent="0.25">
      <c r="A11" s="7" t="s">
        <v>99</v>
      </c>
      <c r="B11" s="7"/>
      <c r="C11" s="7"/>
      <c r="D11" s="8" t="str">
        <f>Ввод_работ!B6</f>
        <v>Гидроизоляция кровли, зона Б (демо)</v>
      </c>
      <c r="E11" s="8"/>
      <c r="F11" s="8"/>
      <c r="G11" s="8"/>
      <c r="H11" s="8"/>
    </row>
    <row r="12" ht="34" customHeight="1" spans="1:8" x14ac:dyDescent="0.25">
      <c r="A12" s="7" t="s">
        <v>100</v>
      </c>
      <c r="B12" s="7"/>
      <c r="C12" s="7"/>
      <c r="D12" s="8" t="str">
        <f>Ввод_работ!C6</f>
        <v>2026-10-03</v>
      </c>
      <c r="E12" s="8"/>
      <c r="F12" s="8"/>
      <c r="G12" s="8"/>
      <c r="H12" s="8"/>
    </row>
    <row r="13" ht="34" customHeight="1" spans="1:8" x14ac:dyDescent="0.25">
      <c r="A13" s="7" t="s">
        <v>101</v>
      </c>
      <c r="B13" s="7"/>
      <c r="C13" s="7"/>
      <c r="D13" s="8" t="str">
        <f>Ввод_работ!D6</f>
        <v>2026-10-04</v>
      </c>
      <c r="E13" s="8"/>
      <c r="F13" s="8"/>
      <c r="G13" s="8"/>
      <c r="H13" s="8"/>
    </row>
    <row r="14" ht="34" customHeight="1" spans="1:8" x14ac:dyDescent="0.25">
      <c r="A14" s="7" t="s">
        <v>102</v>
      </c>
      <c r="B14" s="7"/>
      <c r="C14" s="7"/>
      <c r="D14" s="8" t="str">
        <f>Ввод_работ!F6</f>
        <v>ИС-02</v>
      </c>
      <c r="E14" s="8"/>
      <c r="F14" s="8"/>
      <c r="G14" s="8"/>
      <c r="H14" s="8"/>
    </row>
    <row r="15" ht="34" customHeight="1" spans="1:8" x14ac:dyDescent="0.25">
      <c r="A15" s="7" t="s">
        <v>103</v>
      </c>
      <c r="B15" s="7"/>
      <c r="C15" s="7"/>
      <c r="D15" s="8" t="str">
        <f>Ввод_работ!G6</f>
        <v/>
      </c>
      <c r="E15" s="8"/>
      <c r="F15" s="8"/>
      <c r="G15" s="8"/>
      <c r="H15" s="8"/>
    </row>
    <row r="16" ht="82" customHeight="1" spans="1:8" x14ac:dyDescent="0.25">
      <c r="A16" s="7" t="s">
        <v>31</v>
      </c>
      <c r="B16" s="7"/>
      <c r="C16" s="7"/>
      <c r="D16" s="8" t="str">
        <f>Ввод_работ!H6</f>
        <v>Учебный сертификат № DEMO-001 (не реальный документ)</v>
      </c>
      <c r="E16" s="8"/>
      <c r="F16" s="8"/>
      <c r="G16" s="8"/>
      <c r="H16" s="8"/>
    </row>
    <row r="17" ht="34" customHeight="1" spans="1:8" x14ac:dyDescent="0.25">
      <c r="A17" s="7" t="s">
        <v>104</v>
      </c>
      <c r="B17" s="7"/>
      <c r="C17" s="7"/>
      <c r="D17" s="8">
        <f>Ввод_работ!I6</f>
        <v>7.5</v>
      </c>
      <c r="E17" s="8"/>
      <c r="F17" s="8"/>
      <c r="G17" s="8"/>
      <c r="H17" s="8"/>
    </row>
    <row r="18" ht="34" customHeight="1" spans="1:8" x14ac:dyDescent="0.25">
      <c r="A18" s="7" t="s">
        <v>105</v>
      </c>
      <c r="B18" s="7"/>
      <c r="C18" s="7"/>
      <c r="D18" s="8" t="str">
        <f>Ввод_работ!J6</f>
        <v>м²</v>
      </c>
      <c r="E18" s="8"/>
      <c r="F18" s="8"/>
      <c r="G18" s="8"/>
      <c r="H18" s="8"/>
    </row>
    <row r="19" ht="34" customHeight="1" spans="1:8" x14ac:dyDescent="0.25">
      <c r="A19" s="7" t="s">
        <v>106</v>
      </c>
      <c r="B19" s="7"/>
      <c r="C19" s="7"/>
      <c r="D19" s="8" t="str">
        <f>Ввод_работ!K6</f>
        <v>КС2-01</v>
      </c>
      <c r="E19" s="8"/>
      <c r="F19" s="8"/>
      <c r="G19" s="8"/>
      <c r="H19" s="8"/>
    </row>
    <row r="20" ht="34" customHeight="1" spans="1:8" x14ac:dyDescent="0.25">
      <c r="A20" s="7" t="s">
        <v>107</v>
      </c>
      <c r="B20" s="7"/>
      <c r="C20" s="7"/>
      <c r="D20" s="8" t="str">
        <f>Ввод_работ!L6</f>
        <v/>
      </c>
      <c r="E20" s="8"/>
      <c r="F20" s="8"/>
      <c r="G20" s="8"/>
      <c r="H20" s="8"/>
    </row>
    <row r="23" spans="1:8" x14ac:dyDescent="0.25">
      <c r="A23" t="s">
        <v>108</v>
      </c>
      <c r="B23"/>
      <c r="C23"/>
      <c r="D23"/>
      <c r="E23"/>
      <c r="F23"/>
      <c r="G23"/>
      <c r="H23"/>
    </row>
    <row r="25" spans="1:8" x14ac:dyDescent="0.25">
      <c r="A25" t="s">
        <v>109</v>
      </c>
      <c r="B25"/>
      <c r="C25"/>
      <c r="D25"/>
      <c r="E25" t="s">
        <v>110</v>
      </c>
      <c r="F25"/>
      <c r="G25"/>
      <c r="H25"/>
    </row>
  </sheetData>
  <mergeCells count="39">
    <mergeCell ref="A1:H1"/>
    <mergeCell ref="A2:H2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A10:C10"/>
    <mergeCell ref="D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C15"/>
    <mergeCell ref="D15:H15"/>
    <mergeCell ref="A16:C16"/>
    <mergeCell ref="D16:H16"/>
    <mergeCell ref="A17:C17"/>
    <mergeCell ref="D17:H17"/>
    <mergeCell ref="A18:C18"/>
    <mergeCell ref="D18:H18"/>
    <mergeCell ref="A19:C19"/>
    <mergeCell ref="D19:H19"/>
    <mergeCell ref="A20:C20"/>
    <mergeCell ref="D20:H20"/>
    <mergeCell ref="A23:H23"/>
    <mergeCell ref="A25:D25"/>
    <mergeCell ref="E25:H25"/>
  </mergeCells>
  <pageSetup paperSize="9" orientation="portrait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"/>
  <sheetViews>
    <sheetView workbookViewId="0" showGridLines="0"/>
  </sheetViews>
  <sheetFormatPr defaultRowHeight="15" outlineLevelRow="0" outlineLevelCol="0" x14ac:dyDescent="55"/>
  <cols>
    <col min="1" max="8" width="17" customWidth="1"/>
  </cols>
  <sheetData>
    <row r="1" ht="33" customHeight="1" spans="1:8" x14ac:dyDescent="0.25">
      <c r="A1" s="1" t="s">
        <v>97</v>
      </c>
      <c r="B1" s="1"/>
      <c r="C1" s="1"/>
      <c r="D1" s="1"/>
      <c r="E1" s="1"/>
      <c r="F1" s="1"/>
      <c r="G1" s="1"/>
      <c r="H1" s="1"/>
    </row>
    <row r="2" spans="1:8" x14ac:dyDescent="0.25">
      <c r="A2" t="s">
        <v>98</v>
      </c>
      <c r="B2"/>
      <c r="C2"/>
      <c r="D2"/>
      <c r="E2"/>
      <c r="F2"/>
      <c r="G2"/>
      <c r="H2"/>
    </row>
    <row r="4" ht="34" customHeight="1" spans="1:8" x14ac:dyDescent="0.25">
      <c r="A4" s="7" t="s">
        <v>91</v>
      </c>
      <c r="B4" s="7"/>
      <c r="C4" s="7"/>
      <c r="D4" s="8" t="str">
        <f>Ввод_работ!A7</f>
        <v>1.2</v>
      </c>
      <c r="E4" s="8"/>
      <c r="F4" s="8"/>
      <c r="G4" s="8"/>
      <c r="H4" s="8"/>
    </row>
    <row r="5" ht="34" customHeight="1" spans="1:8" x14ac:dyDescent="0.25">
      <c r="A5" s="7" t="s">
        <v>1</v>
      </c>
      <c r="B5" s="7"/>
      <c r="C5" s="7"/>
      <c r="D5" s="8" t="str">
        <f>Реквизиты!B3</f>
        <v>Учебный объект (вымышленно)</v>
      </c>
      <c r="E5" s="8"/>
      <c r="F5" s="8"/>
      <c r="G5" s="8"/>
      <c r="H5" s="8"/>
    </row>
    <row r="6" ht="34" customHeight="1" spans="1:8" x14ac:dyDescent="0.25">
      <c r="A6" s="7" t="s">
        <v>5</v>
      </c>
      <c r="B6" s="7"/>
      <c r="C6" s="7"/>
      <c r="D6" s="8" t="str">
        <f>Реквизиты!B5</f>
        <v>Учебная улица, дом 1, Примерный город</v>
      </c>
      <c r="E6" s="8"/>
      <c r="F6" s="8"/>
      <c r="G6" s="8"/>
      <c r="H6" s="8"/>
    </row>
    <row r="7" ht="34" customHeight="1" spans="1:8" x14ac:dyDescent="0.25">
      <c r="A7" s="7" t="s">
        <v>7</v>
      </c>
      <c r="B7" s="7"/>
      <c r="C7" s="7"/>
      <c r="D7" s="8" t="str">
        <f>Реквизиты!B6</f>
        <v>Учебный заказчик</v>
      </c>
      <c r="E7" s="8"/>
      <c r="F7" s="8"/>
      <c r="G7" s="8"/>
      <c r="H7" s="8"/>
    </row>
    <row r="8" ht="34" customHeight="1" spans="1:8" x14ac:dyDescent="0.25">
      <c r="A8" s="7" t="s">
        <v>9</v>
      </c>
      <c r="B8" s="7"/>
      <c r="C8" s="7"/>
      <c r="D8" s="8" t="str">
        <f>Реквизиты!B7</f>
        <v>ООО «Пример-Кровля» (вымышленно)</v>
      </c>
      <c r="E8" s="8"/>
      <c r="F8" s="8"/>
      <c r="G8" s="8"/>
      <c r="H8" s="8"/>
    </row>
    <row r="9" ht="34" customHeight="1" spans="1:8" x14ac:dyDescent="0.25">
      <c r="A9" s="7" t="s">
        <v>11</v>
      </c>
      <c r="B9" s="7"/>
      <c r="C9" s="7"/>
      <c r="D9" s="8" t="str">
        <f>Реквизиты!B8</f>
        <v>Проектное бюро «Образец» (вымышленно)</v>
      </c>
      <c r="E9" s="8"/>
      <c r="F9" s="8"/>
      <c r="G9" s="8"/>
      <c r="H9" s="8"/>
    </row>
    <row r="10" ht="34" customHeight="1" spans="1:8" x14ac:dyDescent="0.25">
      <c r="A10" s="7" t="s">
        <v>28</v>
      </c>
      <c r="B10" s="7"/>
      <c r="C10" s="7"/>
      <c r="D10" s="8" t="str">
        <f>Ввод_работ!E7</f>
        <v>2026-10-05</v>
      </c>
      <c r="E10" s="8"/>
      <c r="F10" s="8"/>
      <c r="G10" s="8"/>
      <c r="H10" s="8"/>
    </row>
    <row r="11" ht="62" customHeight="1" spans="1:8" x14ac:dyDescent="0.25">
      <c r="A11" s="7" t="s">
        <v>99</v>
      </c>
      <c r="B11" s="7"/>
      <c r="C11" s="7"/>
      <c r="D11" s="8" t="str">
        <f>Ввод_работ!B7</f>
        <v>Укладка утеплителя, зона А (демо)</v>
      </c>
      <c r="E11" s="8"/>
      <c r="F11" s="8"/>
      <c r="G11" s="8"/>
      <c r="H11" s="8"/>
    </row>
    <row r="12" ht="34" customHeight="1" spans="1:8" x14ac:dyDescent="0.25">
      <c r="A12" s="7" t="s">
        <v>100</v>
      </c>
      <c r="B12" s="7"/>
      <c r="C12" s="7"/>
      <c r="D12" s="8" t="str">
        <f>Ввод_работ!C7</f>
        <v>2026-10-04</v>
      </c>
      <c r="E12" s="8"/>
      <c r="F12" s="8"/>
      <c r="G12" s="8"/>
      <c r="H12" s="8"/>
    </row>
    <row r="13" ht="34" customHeight="1" spans="1:8" x14ac:dyDescent="0.25">
      <c r="A13" s="7" t="s">
        <v>101</v>
      </c>
      <c r="B13" s="7"/>
      <c r="C13" s="7"/>
      <c r="D13" s="8" t="str">
        <f>Ввод_работ!D7</f>
        <v>2026-10-05</v>
      </c>
      <c r="E13" s="8"/>
      <c r="F13" s="8"/>
      <c r="G13" s="8"/>
      <c r="H13" s="8"/>
    </row>
    <row r="14" ht="34" customHeight="1" spans="1:8" x14ac:dyDescent="0.25">
      <c r="A14" s="7" t="s">
        <v>102</v>
      </c>
      <c r="B14" s="7"/>
      <c r="C14" s="7"/>
      <c r="D14" s="8" t="str">
        <f>Ввод_работ!F7</f>
        <v>ИС-03</v>
      </c>
      <c r="E14" s="8"/>
      <c r="F14" s="8"/>
      <c r="G14" s="8"/>
      <c r="H14" s="8"/>
    </row>
    <row r="15" ht="34" customHeight="1" spans="1:8" x14ac:dyDescent="0.25">
      <c r="A15" s="7" t="s">
        <v>103</v>
      </c>
      <c r="B15" s="7"/>
      <c r="C15" s="7"/>
      <c r="D15" s="8" t="str">
        <f>Ввод_работ!G7</f>
        <v/>
      </c>
      <c r="E15" s="8"/>
      <c r="F15" s="8"/>
      <c r="G15" s="8"/>
      <c r="H15" s="8"/>
    </row>
    <row r="16" ht="82" customHeight="1" spans="1:8" x14ac:dyDescent="0.25">
      <c r="A16" s="7" t="s">
        <v>31</v>
      </c>
      <c r="B16" s="7"/>
      <c r="C16" s="7"/>
      <c r="D16" s="8" t="str">
        <f>Ввод_работ!H7</f>
        <v>Учебный паспорт № DEMO-002 (не реальный документ)</v>
      </c>
      <c r="E16" s="8"/>
      <c r="F16" s="8"/>
      <c r="G16" s="8"/>
      <c r="H16" s="8"/>
    </row>
    <row r="17" ht="34" customHeight="1" spans="1:8" x14ac:dyDescent="0.25">
      <c r="A17" s="7" t="s">
        <v>104</v>
      </c>
      <c r="B17" s="7"/>
      <c r="C17" s="7"/>
      <c r="D17" s="8">
        <f>Ввод_работ!I7</f>
        <v>22</v>
      </c>
      <c r="E17" s="8"/>
      <c r="F17" s="8"/>
      <c r="G17" s="8"/>
      <c r="H17" s="8"/>
    </row>
    <row r="18" ht="34" customHeight="1" spans="1:8" x14ac:dyDescent="0.25">
      <c r="A18" s="7" t="s">
        <v>105</v>
      </c>
      <c r="B18" s="7"/>
      <c r="C18" s="7"/>
      <c r="D18" s="8" t="str">
        <f>Ввод_работ!J7</f>
        <v>м²</v>
      </c>
      <c r="E18" s="8"/>
      <c r="F18" s="8"/>
      <c r="G18" s="8"/>
      <c r="H18" s="8"/>
    </row>
    <row r="19" ht="34" customHeight="1" spans="1:8" x14ac:dyDescent="0.25">
      <c r="A19" s="7" t="s">
        <v>106</v>
      </c>
      <c r="B19" s="7"/>
      <c r="C19" s="7"/>
      <c r="D19" s="8" t="str">
        <f>Ввод_работ!K7</f>
        <v>КС2-02</v>
      </c>
      <c r="E19" s="8"/>
      <c r="F19" s="8"/>
      <c r="G19" s="8"/>
      <c r="H19" s="8"/>
    </row>
    <row r="20" ht="34" customHeight="1" spans="1:8" x14ac:dyDescent="0.25">
      <c r="A20" s="7" t="s">
        <v>107</v>
      </c>
      <c r="B20" s="7"/>
      <c r="C20" s="7"/>
      <c r="D20" s="8" t="str">
        <f>Ввод_работ!L7</f>
        <v/>
      </c>
      <c r="E20" s="8"/>
      <c r="F20" s="8"/>
      <c r="G20" s="8"/>
      <c r="H20" s="8"/>
    </row>
    <row r="23" spans="1:8" x14ac:dyDescent="0.25">
      <c r="A23" t="s">
        <v>108</v>
      </c>
      <c r="B23"/>
      <c r="C23"/>
      <c r="D23"/>
      <c r="E23"/>
      <c r="F23"/>
      <c r="G23"/>
      <c r="H23"/>
    </row>
    <row r="25" spans="1:8" x14ac:dyDescent="0.25">
      <c r="A25" t="s">
        <v>109</v>
      </c>
      <c r="B25"/>
      <c r="C25"/>
      <c r="D25"/>
      <c r="E25" t="s">
        <v>110</v>
      </c>
      <c r="F25"/>
      <c r="G25"/>
      <c r="H25"/>
    </row>
  </sheetData>
  <mergeCells count="39">
    <mergeCell ref="A1:H1"/>
    <mergeCell ref="A2:H2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A10:C10"/>
    <mergeCell ref="D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C15"/>
    <mergeCell ref="D15:H15"/>
    <mergeCell ref="A16:C16"/>
    <mergeCell ref="D16:H16"/>
    <mergeCell ref="A17:C17"/>
    <mergeCell ref="D17:H17"/>
    <mergeCell ref="A18:C18"/>
    <mergeCell ref="D18:H18"/>
    <mergeCell ref="A19:C19"/>
    <mergeCell ref="D19:H19"/>
    <mergeCell ref="A20:C20"/>
    <mergeCell ref="D20:H20"/>
    <mergeCell ref="A23:H23"/>
    <mergeCell ref="A25:D25"/>
    <mergeCell ref="E25:H25"/>
  </mergeCells>
  <pageSetup paperSize="9" orientation="portrait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"/>
  <sheetViews>
    <sheetView workbookViewId="0" showGridLines="0"/>
  </sheetViews>
  <sheetFormatPr defaultRowHeight="15" outlineLevelRow="0" outlineLevelCol="0" x14ac:dyDescent="55"/>
  <cols>
    <col min="1" max="8" width="17" customWidth="1"/>
  </cols>
  <sheetData>
    <row r="1" ht="33" customHeight="1" spans="1:8" x14ac:dyDescent="0.25">
      <c r="A1" s="1" t="s">
        <v>97</v>
      </c>
      <c r="B1" s="1"/>
      <c r="C1" s="1"/>
      <c r="D1" s="1"/>
      <c r="E1" s="1"/>
      <c r="F1" s="1"/>
      <c r="G1" s="1"/>
      <c r="H1" s="1"/>
    </row>
    <row r="2" spans="1:8" x14ac:dyDescent="0.25">
      <c r="A2" t="s">
        <v>98</v>
      </c>
      <c r="B2"/>
      <c r="C2"/>
      <c r="D2"/>
      <c r="E2"/>
      <c r="F2"/>
      <c r="G2"/>
      <c r="H2"/>
    </row>
    <row r="4" ht="34" customHeight="1" spans="1:8" x14ac:dyDescent="0.25">
      <c r="A4" s="7" t="s">
        <v>91</v>
      </c>
      <c r="B4" s="7"/>
      <c r="C4" s="7"/>
      <c r="D4" s="8" t="str">
        <f>Ввод_работ!A8</f>
        <v>1.3</v>
      </c>
      <c r="E4" s="8"/>
      <c r="F4" s="8"/>
      <c r="G4" s="8"/>
      <c r="H4" s="8"/>
    </row>
    <row r="5" ht="34" customHeight="1" spans="1:8" x14ac:dyDescent="0.25">
      <c r="A5" s="7" t="s">
        <v>1</v>
      </c>
      <c r="B5" s="7"/>
      <c r="C5" s="7"/>
      <c r="D5" s="8" t="str">
        <f>Реквизиты!B3</f>
        <v>Учебный объект (вымышленно)</v>
      </c>
      <c r="E5" s="8"/>
      <c r="F5" s="8"/>
      <c r="G5" s="8"/>
      <c r="H5" s="8"/>
    </row>
    <row r="6" ht="34" customHeight="1" spans="1:8" x14ac:dyDescent="0.25">
      <c r="A6" s="7" t="s">
        <v>5</v>
      </c>
      <c r="B6" s="7"/>
      <c r="C6" s="7"/>
      <c r="D6" s="8" t="str">
        <f>Реквизиты!B5</f>
        <v>Учебная улица, дом 1, Примерный город</v>
      </c>
      <c r="E6" s="8"/>
      <c r="F6" s="8"/>
      <c r="G6" s="8"/>
      <c r="H6" s="8"/>
    </row>
    <row r="7" ht="34" customHeight="1" spans="1:8" x14ac:dyDescent="0.25">
      <c r="A7" s="7" t="s">
        <v>7</v>
      </c>
      <c r="B7" s="7"/>
      <c r="C7" s="7"/>
      <c r="D7" s="8" t="str">
        <f>Реквизиты!B6</f>
        <v>Учебный заказчик</v>
      </c>
      <c r="E7" s="8"/>
      <c r="F7" s="8"/>
      <c r="G7" s="8"/>
      <c r="H7" s="8"/>
    </row>
    <row r="8" ht="34" customHeight="1" spans="1:8" x14ac:dyDescent="0.25">
      <c r="A8" s="7" t="s">
        <v>9</v>
      </c>
      <c r="B8" s="7"/>
      <c r="C8" s="7"/>
      <c r="D8" s="8" t="str">
        <f>Реквизиты!B7</f>
        <v>ООО «Пример-Кровля» (вымышленно)</v>
      </c>
      <c r="E8" s="8"/>
      <c r="F8" s="8"/>
      <c r="G8" s="8"/>
      <c r="H8" s="8"/>
    </row>
    <row r="9" ht="34" customHeight="1" spans="1:8" x14ac:dyDescent="0.25">
      <c r="A9" s="7" t="s">
        <v>11</v>
      </c>
      <c r="B9" s="7"/>
      <c r="C9" s="7"/>
      <c r="D9" s="8" t="str">
        <f>Реквизиты!B8</f>
        <v>Проектное бюро «Образец» (вымышленно)</v>
      </c>
      <c r="E9" s="8"/>
      <c r="F9" s="8"/>
      <c r="G9" s="8"/>
      <c r="H9" s="8"/>
    </row>
    <row r="10" ht="34" customHeight="1" spans="1:8" x14ac:dyDescent="0.25">
      <c r="A10" s="7" t="s">
        <v>28</v>
      </c>
      <c r="B10" s="7"/>
      <c r="C10" s="7"/>
      <c r="D10" s="8" t="str">
        <f>Ввод_работ!E8</f>
        <v/>
      </c>
      <c r="E10" s="8"/>
      <c r="F10" s="8"/>
      <c r="G10" s="8"/>
      <c r="H10" s="8"/>
    </row>
    <row r="11" ht="62" customHeight="1" spans="1:8" x14ac:dyDescent="0.25">
      <c r="A11" s="7" t="s">
        <v>99</v>
      </c>
      <c r="B11" s="7"/>
      <c r="C11" s="7"/>
      <c r="D11" s="8" t="str">
        <f>Ввод_работ!B8</f>
        <v/>
      </c>
      <c r="E11" s="8"/>
      <c r="F11" s="8"/>
      <c r="G11" s="8"/>
      <c r="H11" s="8"/>
    </row>
    <row r="12" ht="34" customHeight="1" spans="1:8" x14ac:dyDescent="0.25">
      <c r="A12" s="7" t="s">
        <v>100</v>
      </c>
      <c r="B12" s="7"/>
      <c r="C12" s="7"/>
      <c r="D12" s="8" t="str">
        <f>Ввод_работ!C8</f>
        <v/>
      </c>
      <c r="E12" s="8"/>
      <c r="F12" s="8"/>
      <c r="G12" s="8"/>
      <c r="H12" s="8"/>
    </row>
    <row r="13" ht="34" customHeight="1" spans="1:8" x14ac:dyDescent="0.25">
      <c r="A13" s="7" t="s">
        <v>101</v>
      </c>
      <c r="B13" s="7"/>
      <c r="C13" s="7"/>
      <c r="D13" s="8" t="str">
        <f>Ввод_работ!D8</f>
        <v/>
      </c>
      <c r="E13" s="8"/>
      <c r="F13" s="8"/>
      <c r="G13" s="8"/>
      <c r="H13" s="8"/>
    </row>
    <row r="14" ht="34" customHeight="1" spans="1:8" x14ac:dyDescent="0.25">
      <c r="A14" s="7" t="s">
        <v>102</v>
      </c>
      <c r="B14" s="7"/>
      <c r="C14" s="7"/>
      <c r="D14" s="8" t="str">
        <f>Ввод_работ!F8</f>
        <v/>
      </c>
      <c r="E14" s="8"/>
      <c r="F14" s="8"/>
      <c r="G14" s="8"/>
      <c r="H14" s="8"/>
    </row>
    <row r="15" ht="34" customHeight="1" spans="1:8" x14ac:dyDescent="0.25">
      <c r="A15" s="7" t="s">
        <v>103</v>
      </c>
      <c r="B15" s="7"/>
      <c r="C15" s="7"/>
      <c r="D15" s="8" t="str">
        <f>Ввод_работ!G8</f>
        <v/>
      </c>
      <c r="E15" s="8"/>
      <c r="F15" s="8"/>
      <c r="G15" s="8"/>
      <c r="H15" s="8"/>
    </row>
    <row r="16" ht="82" customHeight="1" spans="1:8" x14ac:dyDescent="0.25">
      <c r="A16" s="7" t="s">
        <v>31</v>
      </c>
      <c r="B16" s="7"/>
      <c r="C16" s="7"/>
      <c r="D16" s="8" t="str">
        <f>Ввод_работ!H8</f>
        <v/>
      </c>
      <c r="E16" s="8"/>
      <c r="F16" s="8"/>
      <c r="G16" s="8"/>
      <c r="H16" s="8"/>
    </row>
    <row r="17" ht="34" customHeight="1" spans="1:8" x14ac:dyDescent="0.25">
      <c r="A17" s="7" t="s">
        <v>104</v>
      </c>
      <c r="B17" s="7"/>
      <c r="C17" s="7"/>
      <c r="D17" s="8" t="str">
        <f>Ввод_работ!I8</f>
        <v/>
      </c>
      <c r="E17" s="8"/>
      <c r="F17" s="8"/>
      <c r="G17" s="8"/>
      <c r="H17" s="8"/>
    </row>
    <row r="18" ht="34" customHeight="1" spans="1:8" x14ac:dyDescent="0.25">
      <c r="A18" s="7" t="s">
        <v>105</v>
      </c>
      <c r="B18" s="7"/>
      <c r="C18" s="7"/>
      <c r="D18" s="8" t="str">
        <f>Ввод_работ!J8</f>
        <v/>
      </c>
      <c r="E18" s="8"/>
      <c r="F18" s="8"/>
      <c r="G18" s="8"/>
      <c r="H18" s="8"/>
    </row>
    <row r="19" ht="34" customHeight="1" spans="1:8" x14ac:dyDescent="0.25">
      <c r="A19" s="7" t="s">
        <v>106</v>
      </c>
      <c r="B19" s="7"/>
      <c r="C19" s="7"/>
      <c r="D19" s="8" t="str">
        <f>Ввод_работ!K8</f>
        <v/>
      </c>
      <c r="E19" s="8"/>
      <c r="F19" s="8"/>
      <c r="G19" s="8"/>
      <c r="H19" s="8"/>
    </row>
    <row r="20" ht="34" customHeight="1" spans="1:8" x14ac:dyDescent="0.25">
      <c r="A20" s="7" t="s">
        <v>107</v>
      </c>
      <c r="B20" s="7"/>
      <c r="C20" s="7"/>
      <c r="D20" s="8" t="str">
        <f>Ввод_работ!L8</f>
        <v/>
      </c>
      <c r="E20" s="8"/>
      <c r="F20" s="8"/>
      <c r="G20" s="8"/>
      <c r="H20" s="8"/>
    </row>
    <row r="23" spans="1:8" x14ac:dyDescent="0.25">
      <c r="A23" t="s">
        <v>108</v>
      </c>
      <c r="B23"/>
      <c r="C23"/>
      <c r="D23"/>
      <c r="E23"/>
      <c r="F23"/>
      <c r="G23"/>
      <c r="H23"/>
    </row>
    <row r="25" spans="1:8" x14ac:dyDescent="0.25">
      <c r="A25" t="s">
        <v>109</v>
      </c>
      <c r="B25"/>
      <c r="C25"/>
      <c r="D25"/>
      <c r="E25" t="s">
        <v>110</v>
      </c>
      <c r="F25"/>
      <c r="G25"/>
      <c r="H25"/>
    </row>
  </sheetData>
  <mergeCells count="39">
    <mergeCell ref="A1:H1"/>
    <mergeCell ref="A2:H2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A10:C10"/>
    <mergeCell ref="D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C15"/>
    <mergeCell ref="D15:H15"/>
    <mergeCell ref="A16:C16"/>
    <mergeCell ref="D16:H16"/>
    <mergeCell ref="A17:C17"/>
    <mergeCell ref="D17:H17"/>
    <mergeCell ref="A18:C18"/>
    <mergeCell ref="D18:H18"/>
    <mergeCell ref="A19:C19"/>
    <mergeCell ref="D19:H19"/>
    <mergeCell ref="A20:C20"/>
    <mergeCell ref="D20:H20"/>
    <mergeCell ref="A23:H23"/>
    <mergeCell ref="A25:D25"/>
    <mergeCell ref="E25:H25"/>
  </mergeCells>
  <pageSetup paperSize="9" orientation="portrait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"/>
  <sheetViews>
    <sheetView workbookViewId="0" showGridLines="0"/>
  </sheetViews>
  <sheetFormatPr defaultRowHeight="15" outlineLevelRow="0" outlineLevelCol="0" x14ac:dyDescent="55"/>
  <cols>
    <col min="1" max="8" width="17" customWidth="1"/>
  </cols>
  <sheetData>
    <row r="1" ht="33" customHeight="1" spans="1:8" x14ac:dyDescent="0.25">
      <c r="A1" s="1" t="s">
        <v>97</v>
      </c>
      <c r="B1" s="1"/>
      <c r="C1" s="1"/>
      <c r="D1" s="1"/>
      <c r="E1" s="1"/>
      <c r="F1" s="1"/>
      <c r="G1" s="1"/>
      <c r="H1" s="1"/>
    </row>
    <row r="2" spans="1:8" x14ac:dyDescent="0.25">
      <c r="A2" t="s">
        <v>98</v>
      </c>
      <c r="B2"/>
      <c r="C2"/>
      <c r="D2"/>
      <c r="E2"/>
      <c r="F2"/>
      <c r="G2"/>
      <c r="H2"/>
    </row>
    <row r="4" ht="34" customHeight="1" spans="1:8" x14ac:dyDescent="0.25">
      <c r="A4" s="7" t="s">
        <v>91</v>
      </c>
      <c r="B4" s="7"/>
      <c r="C4" s="7"/>
      <c r="D4" s="8" t="str">
        <f>Ввод_работ!A9</f>
        <v>1.4</v>
      </c>
      <c r="E4" s="8"/>
      <c r="F4" s="8"/>
      <c r="G4" s="8"/>
      <c r="H4" s="8"/>
    </row>
    <row r="5" ht="34" customHeight="1" spans="1:8" x14ac:dyDescent="0.25">
      <c r="A5" s="7" t="s">
        <v>1</v>
      </c>
      <c r="B5" s="7"/>
      <c r="C5" s="7"/>
      <c r="D5" s="8" t="str">
        <f>Реквизиты!B3</f>
        <v>Учебный объект (вымышленно)</v>
      </c>
      <c r="E5" s="8"/>
      <c r="F5" s="8"/>
      <c r="G5" s="8"/>
      <c r="H5" s="8"/>
    </row>
    <row r="6" ht="34" customHeight="1" spans="1:8" x14ac:dyDescent="0.25">
      <c r="A6" s="7" t="s">
        <v>5</v>
      </c>
      <c r="B6" s="7"/>
      <c r="C6" s="7"/>
      <c r="D6" s="8" t="str">
        <f>Реквизиты!B5</f>
        <v>Учебная улица, дом 1, Примерный город</v>
      </c>
      <c r="E6" s="8"/>
      <c r="F6" s="8"/>
      <c r="G6" s="8"/>
      <c r="H6" s="8"/>
    </row>
    <row r="7" ht="34" customHeight="1" spans="1:8" x14ac:dyDescent="0.25">
      <c r="A7" s="7" t="s">
        <v>7</v>
      </c>
      <c r="B7" s="7"/>
      <c r="C7" s="7"/>
      <c r="D7" s="8" t="str">
        <f>Реквизиты!B6</f>
        <v>Учебный заказчик</v>
      </c>
      <c r="E7" s="8"/>
      <c r="F7" s="8"/>
      <c r="G7" s="8"/>
      <c r="H7" s="8"/>
    </row>
    <row r="8" ht="34" customHeight="1" spans="1:8" x14ac:dyDescent="0.25">
      <c r="A8" s="7" t="s">
        <v>9</v>
      </c>
      <c r="B8" s="7"/>
      <c r="C8" s="7"/>
      <c r="D8" s="8" t="str">
        <f>Реквизиты!B7</f>
        <v>ООО «Пример-Кровля» (вымышленно)</v>
      </c>
      <c r="E8" s="8"/>
      <c r="F8" s="8"/>
      <c r="G8" s="8"/>
      <c r="H8" s="8"/>
    </row>
    <row r="9" ht="34" customHeight="1" spans="1:8" x14ac:dyDescent="0.25">
      <c r="A9" s="7" t="s">
        <v>11</v>
      </c>
      <c r="B9" s="7"/>
      <c r="C9" s="7"/>
      <c r="D9" s="8" t="str">
        <f>Реквизиты!B8</f>
        <v>Проектное бюро «Образец» (вымышленно)</v>
      </c>
      <c r="E9" s="8"/>
      <c r="F9" s="8"/>
      <c r="G9" s="8"/>
      <c r="H9" s="8"/>
    </row>
    <row r="10" ht="34" customHeight="1" spans="1:8" x14ac:dyDescent="0.25">
      <c r="A10" s="7" t="s">
        <v>28</v>
      </c>
      <c r="B10" s="7"/>
      <c r="C10" s="7"/>
      <c r="D10" s="8" t="str">
        <f>Ввод_работ!E9</f>
        <v/>
      </c>
      <c r="E10" s="8"/>
      <c r="F10" s="8"/>
      <c r="G10" s="8"/>
      <c r="H10" s="8"/>
    </row>
    <row r="11" ht="62" customHeight="1" spans="1:8" x14ac:dyDescent="0.25">
      <c r="A11" s="7" t="s">
        <v>99</v>
      </c>
      <c r="B11" s="7"/>
      <c r="C11" s="7"/>
      <c r="D11" s="8" t="str">
        <f>Ввод_работ!B9</f>
        <v/>
      </c>
      <c r="E11" s="8"/>
      <c r="F11" s="8"/>
      <c r="G11" s="8"/>
      <c r="H11" s="8"/>
    </row>
    <row r="12" ht="34" customHeight="1" spans="1:8" x14ac:dyDescent="0.25">
      <c r="A12" s="7" t="s">
        <v>100</v>
      </c>
      <c r="B12" s="7"/>
      <c r="C12" s="7"/>
      <c r="D12" s="8" t="str">
        <f>Ввод_работ!C9</f>
        <v/>
      </c>
      <c r="E12" s="8"/>
      <c r="F12" s="8"/>
      <c r="G12" s="8"/>
      <c r="H12" s="8"/>
    </row>
    <row r="13" ht="34" customHeight="1" spans="1:8" x14ac:dyDescent="0.25">
      <c r="A13" s="7" t="s">
        <v>101</v>
      </c>
      <c r="B13" s="7"/>
      <c r="C13" s="7"/>
      <c r="D13" s="8" t="str">
        <f>Ввод_работ!D9</f>
        <v/>
      </c>
      <c r="E13" s="8"/>
      <c r="F13" s="8"/>
      <c r="G13" s="8"/>
      <c r="H13" s="8"/>
    </row>
    <row r="14" ht="34" customHeight="1" spans="1:8" x14ac:dyDescent="0.25">
      <c r="A14" s="7" t="s">
        <v>102</v>
      </c>
      <c r="B14" s="7"/>
      <c r="C14" s="7"/>
      <c r="D14" s="8" t="str">
        <f>Ввод_работ!F9</f>
        <v/>
      </c>
      <c r="E14" s="8"/>
      <c r="F14" s="8"/>
      <c r="G14" s="8"/>
      <c r="H14" s="8"/>
    </row>
    <row r="15" ht="34" customHeight="1" spans="1:8" x14ac:dyDescent="0.25">
      <c r="A15" s="7" t="s">
        <v>103</v>
      </c>
      <c r="B15" s="7"/>
      <c r="C15" s="7"/>
      <c r="D15" s="8" t="str">
        <f>Ввод_работ!G9</f>
        <v/>
      </c>
      <c r="E15" s="8"/>
      <c r="F15" s="8"/>
      <c r="G15" s="8"/>
      <c r="H15" s="8"/>
    </row>
    <row r="16" ht="82" customHeight="1" spans="1:8" x14ac:dyDescent="0.25">
      <c r="A16" s="7" t="s">
        <v>31</v>
      </c>
      <c r="B16" s="7"/>
      <c r="C16" s="7"/>
      <c r="D16" s="8" t="str">
        <f>Ввод_работ!H9</f>
        <v/>
      </c>
      <c r="E16" s="8"/>
      <c r="F16" s="8"/>
      <c r="G16" s="8"/>
      <c r="H16" s="8"/>
    </row>
    <row r="17" ht="34" customHeight="1" spans="1:8" x14ac:dyDescent="0.25">
      <c r="A17" s="7" t="s">
        <v>104</v>
      </c>
      <c r="B17" s="7"/>
      <c r="C17" s="7"/>
      <c r="D17" s="8" t="str">
        <f>Ввод_работ!I9</f>
        <v/>
      </c>
      <c r="E17" s="8"/>
      <c r="F17" s="8"/>
      <c r="G17" s="8"/>
      <c r="H17" s="8"/>
    </row>
    <row r="18" ht="34" customHeight="1" spans="1:8" x14ac:dyDescent="0.25">
      <c r="A18" s="7" t="s">
        <v>105</v>
      </c>
      <c r="B18" s="7"/>
      <c r="C18" s="7"/>
      <c r="D18" s="8" t="str">
        <f>Ввод_работ!J9</f>
        <v/>
      </c>
      <c r="E18" s="8"/>
      <c r="F18" s="8"/>
      <c r="G18" s="8"/>
      <c r="H18" s="8"/>
    </row>
    <row r="19" ht="34" customHeight="1" spans="1:8" x14ac:dyDescent="0.25">
      <c r="A19" s="7" t="s">
        <v>106</v>
      </c>
      <c r="B19" s="7"/>
      <c r="C19" s="7"/>
      <c r="D19" s="8" t="str">
        <f>Ввод_работ!K9</f>
        <v/>
      </c>
      <c r="E19" s="8"/>
      <c r="F19" s="8"/>
      <c r="G19" s="8"/>
      <c r="H19" s="8"/>
    </row>
    <row r="20" ht="34" customHeight="1" spans="1:8" x14ac:dyDescent="0.25">
      <c r="A20" s="7" t="s">
        <v>107</v>
      </c>
      <c r="B20" s="7"/>
      <c r="C20" s="7"/>
      <c r="D20" s="8" t="str">
        <f>Ввод_работ!L9</f>
        <v/>
      </c>
      <c r="E20" s="8"/>
      <c r="F20" s="8"/>
      <c r="G20" s="8"/>
      <c r="H20" s="8"/>
    </row>
    <row r="23" spans="1:8" x14ac:dyDescent="0.25">
      <c r="A23" t="s">
        <v>108</v>
      </c>
      <c r="B23"/>
      <c r="C23"/>
      <c r="D23"/>
      <c r="E23"/>
      <c r="F23"/>
      <c r="G23"/>
      <c r="H23"/>
    </row>
    <row r="25" spans="1:8" x14ac:dyDescent="0.25">
      <c r="A25" t="s">
        <v>109</v>
      </c>
      <c r="B25"/>
      <c r="C25"/>
      <c r="D25"/>
      <c r="E25" t="s">
        <v>110</v>
      </c>
      <c r="F25"/>
      <c r="G25"/>
      <c r="H25"/>
    </row>
  </sheetData>
  <mergeCells count="39">
    <mergeCell ref="A1:H1"/>
    <mergeCell ref="A2:H2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A10:C10"/>
    <mergeCell ref="D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C15"/>
    <mergeCell ref="D15:H15"/>
    <mergeCell ref="A16:C16"/>
    <mergeCell ref="D16:H16"/>
    <mergeCell ref="A17:C17"/>
    <mergeCell ref="D17:H17"/>
    <mergeCell ref="A18:C18"/>
    <mergeCell ref="D18:H18"/>
    <mergeCell ref="A19:C19"/>
    <mergeCell ref="D19:H19"/>
    <mergeCell ref="A20:C20"/>
    <mergeCell ref="D20:H20"/>
    <mergeCell ref="A23:H23"/>
    <mergeCell ref="A25:D25"/>
    <mergeCell ref="E25:H25"/>
  </mergeCells>
  <pageSetup paperSize="9" orientation="portrait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"/>
  <sheetViews>
    <sheetView workbookViewId="0" showGridLines="0"/>
  </sheetViews>
  <sheetFormatPr defaultRowHeight="15" outlineLevelRow="0" outlineLevelCol="0" x14ac:dyDescent="55"/>
  <cols>
    <col min="1" max="8" width="17" customWidth="1"/>
  </cols>
  <sheetData>
    <row r="1" ht="33" customHeight="1" spans="1:8" x14ac:dyDescent="0.25">
      <c r="A1" s="1" t="s">
        <v>97</v>
      </c>
      <c r="B1" s="1"/>
      <c r="C1" s="1"/>
      <c r="D1" s="1"/>
      <c r="E1" s="1"/>
      <c r="F1" s="1"/>
      <c r="G1" s="1"/>
      <c r="H1" s="1"/>
    </row>
    <row r="2" spans="1:8" x14ac:dyDescent="0.25">
      <c r="A2" t="s">
        <v>98</v>
      </c>
      <c r="B2"/>
      <c r="C2"/>
      <c r="D2"/>
      <c r="E2"/>
      <c r="F2"/>
      <c r="G2"/>
      <c r="H2"/>
    </row>
    <row r="4" ht="34" customHeight="1" spans="1:8" x14ac:dyDescent="0.25">
      <c r="A4" s="7" t="s">
        <v>91</v>
      </c>
      <c r="B4" s="7"/>
      <c r="C4" s="7"/>
      <c r="D4" s="8" t="str">
        <f>Ввод_работ!A10</f>
        <v>1.5</v>
      </c>
      <c r="E4" s="8"/>
      <c r="F4" s="8"/>
      <c r="G4" s="8"/>
      <c r="H4" s="8"/>
    </row>
    <row r="5" ht="34" customHeight="1" spans="1:8" x14ac:dyDescent="0.25">
      <c r="A5" s="7" t="s">
        <v>1</v>
      </c>
      <c r="B5" s="7"/>
      <c r="C5" s="7"/>
      <c r="D5" s="8" t="str">
        <f>Реквизиты!B3</f>
        <v>Учебный объект (вымышленно)</v>
      </c>
      <c r="E5" s="8"/>
      <c r="F5" s="8"/>
      <c r="G5" s="8"/>
      <c r="H5" s="8"/>
    </row>
    <row r="6" ht="34" customHeight="1" spans="1:8" x14ac:dyDescent="0.25">
      <c r="A6" s="7" t="s">
        <v>5</v>
      </c>
      <c r="B6" s="7"/>
      <c r="C6" s="7"/>
      <c r="D6" s="8" t="str">
        <f>Реквизиты!B5</f>
        <v>Учебная улица, дом 1, Примерный город</v>
      </c>
      <c r="E6" s="8"/>
      <c r="F6" s="8"/>
      <c r="G6" s="8"/>
      <c r="H6" s="8"/>
    </row>
    <row r="7" ht="34" customHeight="1" spans="1:8" x14ac:dyDescent="0.25">
      <c r="A7" s="7" t="s">
        <v>7</v>
      </c>
      <c r="B7" s="7"/>
      <c r="C7" s="7"/>
      <c r="D7" s="8" t="str">
        <f>Реквизиты!B6</f>
        <v>Учебный заказчик</v>
      </c>
      <c r="E7" s="8"/>
      <c r="F7" s="8"/>
      <c r="G7" s="8"/>
      <c r="H7" s="8"/>
    </row>
    <row r="8" ht="34" customHeight="1" spans="1:8" x14ac:dyDescent="0.25">
      <c r="A8" s="7" t="s">
        <v>9</v>
      </c>
      <c r="B8" s="7"/>
      <c r="C8" s="7"/>
      <c r="D8" s="8" t="str">
        <f>Реквизиты!B7</f>
        <v>ООО «Пример-Кровля» (вымышленно)</v>
      </c>
      <c r="E8" s="8"/>
      <c r="F8" s="8"/>
      <c r="G8" s="8"/>
      <c r="H8" s="8"/>
    </row>
    <row r="9" ht="34" customHeight="1" spans="1:8" x14ac:dyDescent="0.25">
      <c r="A9" s="7" t="s">
        <v>11</v>
      </c>
      <c r="B9" s="7"/>
      <c r="C9" s="7"/>
      <c r="D9" s="8" t="str">
        <f>Реквизиты!B8</f>
        <v>Проектное бюро «Образец» (вымышленно)</v>
      </c>
      <c r="E9" s="8"/>
      <c r="F9" s="8"/>
      <c r="G9" s="8"/>
      <c r="H9" s="8"/>
    </row>
    <row r="10" ht="34" customHeight="1" spans="1:8" x14ac:dyDescent="0.25">
      <c r="A10" s="7" t="s">
        <v>28</v>
      </c>
      <c r="B10" s="7"/>
      <c r="C10" s="7"/>
      <c r="D10" s="8" t="str">
        <f>Ввод_работ!E10</f>
        <v/>
      </c>
      <c r="E10" s="8"/>
      <c r="F10" s="8"/>
      <c r="G10" s="8"/>
      <c r="H10" s="8"/>
    </row>
    <row r="11" ht="62" customHeight="1" spans="1:8" x14ac:dyDescent="0.25">
      <c r="A11" s="7" t="s">
        <v>99</v>
      </c>
      <c r="B11" s="7"/>
      <c r="C11" s="7"/>
      <c r="D11" s="8" t="str">
        <f>Ввод_работ!B10</f>
        <v/>
      </c>
      <c r="E11" s="8"/>
      <c r="F11" s="8"/>
      <c r="G11" s="8"/>
      <c r="H11" s="8"/>
    </row>
    <row r="12" ht="34" customHeight="1" spans="1:8" x14ac:dyDescent="0.25">
      <c r="A12" s="7" t="s">
        <v>100</v>
      </c>
      <c r="B12" s="7"/>
      <c r="C12" s="7"/>
      <c r="D12" s="8" t="str">
        <f>Ввод_работ!C10</f>
        <v/>
      </c>
      <c r="E12" s="8"/>
      <c r="F12" s="8"/>
      <c r="G12" s="8"/>
      <c r="H12" s="8"/>
    </row>
    <row r="13" ht="34" customHeight="1" spans="1:8" x14ac:dyDescent="0.25">
      <c r="A13" s="7" t="s">
        <v>101</v>
      </c>
      <c r="B13" s="7"/>
      <c r="C13" s="7"/>
      <c r="D13" s="8" t="str">
        <f>Ввод_работ!D10</f>
        <v/>
      </c>
      <c r="E13" s="8"/>
      <c r="F13" s="8"/>
      <c r="G13" s="8"/>
      <c r="H13" s="8"/>
    </row>
    <row r="14" ht="34" customHeight="1" spans="1:8" x14ac:dyDescent="0.25">
      <c r="A14" s="7" t="s">
        <v>102</v>
      </c>
      <c r="B14" s="7"/>
      <c r="C14" s="7"/>
      <c r="D14" s="8" t="str">
        <f>Ввод_работ!F10</f>
        <v/>
      </c>
      <c r="E14" s="8"/>
      <c r="F14" s="8"/>
      <c r="G14" s="8"/>
      <c r="H14" s="8"/>
    </row>
    <row r="15" ht="34" customHeight="1" spans="1:8" x14ac:dyDescent="0.25">
      <c r="A15" s="7" t="s">
        <v>103</v>
      </c>
      <c r="B15" s="7"/>
      <c r="C15" s="7"/>
      <c r="D15" s="8" t="str">
        <f>Ввод_работ!G10</f>
        <v/>
      </c>
      <c r="E15" s="8"/>
      <c r="F15" s="8"/>
      <c r="G15" s="8"/>
      <c r="H15" s="8"/>
    </row>
    <row r="16" ht="82" customHeight="1" spans="1:8" x14ac:dyDescent="0.25">
      <c r="A16" s="7" t="s">
        <v>31</v>
      </c>
      <c r="B16" s="7"/>
      <c r="C16" s="7"/>
      <c r="D16" s="8" t="str">
        <f>Ввод_работ!H10</f>
        <v/>
      </c>
      <c r="E16" s="8"/>
      <c r="F16" s="8"/>
      <c r="G16" s="8"/>
      <c r="H16" s="8"/>
    </row>
    <row r="17" ht="34" customHeight="1" spans="1:8" x14ac:dyDescent="0.25">
      <c r="A17" s="7" t="s">
        <v>104</v>
      </c>
      <c r="B17" s="7"/>
      <c r="C17" s="7"/>
      <c r="D17" s="8" t="str">
        <f>Ввод_работ!I10</f>
        <v/>
      </c>
      <c r="E17" s="8"/>
      <c r="F17" s="8"/>
      <c r="G17" s="8"/>
      <c r="H17" s="8"/>
    </row>
    <row r="18" ht="34" customHeight="1" spans="1:8" x14ac:dyDescent="0.25">
      <c r="A18" s="7" t="s">
        <v>105</v>
      </c>
      <c r="B18" s="7"/>
      <c r="C18" s="7"/>
      <c r="D18" s="8" t="str">
        <f>Ввод_работ!J10</f>
        <v/>
      </c>
      <c r="E18" s="8"/>
      <c r="F18" s="8"/>
      <c r="G18" s="8"/>
      <c r="H18" s="8"/>
    </row>
    <row r="19" ht="34" customHeight="1" spans="1:8" x14ac:dyDescent="0.25">
      <c r="A19" s="7" t="s">
        <v>106</v>
      </c>
      <c r="B19" s="7"/>
      <c r="C19" s="7"/>
      <c r="D19" s="8" t="str">
        <f>Ввод_работ!K10</f>
        <v/>
      </c>
      <c r="E19" s="8"/>
      <c r="F19" s="8"/>
      <c r="G19" s="8"/>
      <c r="H19" s="8"/>
    </row>
    <row r="20" ht="34" customHeight="1" spans="1:8" x14ac:dyDescent="0.25">
      <c r="A20" s="7" t="s">
        <v>107</v>
      </c>
      <c r="B20" s="7"/>
      <c r="C20" s="7"/>
      <c r="D20" s="8" t="str">
        <f>Ввод_работ!L10</f>
        <v/>
      </c>
      <c r="E20" s="8"/>
      <c r="F20" s="8"/>
      <c r="G20" s="8"/>
      <c r="H20" s="8"/>
    </row>
    <row r="23" spans="1:8" x14ac:dyDescent="0.25">
      <c r="A23" t="s">
        <v>108</v>
      </c>
      <c r="B23"/>
      <c r="C23"/>
      <c r="D23"/>
      <c r="E23"/>
      <c r="F23"/>
      <c r="G23"/>
      <c r="H23"/>
    </row>
    <row r="25" spans="1:8" x14ac:dyDescent="0.25">
      <c r="A25" t="s">
        <v>109</v>
      </c>
      <c r="B25"/>
      <c r="C25"/>
      <c r="D25"/>
      <c r="E25" t="s">
        <v>110</v>
      </c>
      <c r="F25"/>
      <c r="G25"/>
      <c r="H25"/>
    </row>
  </sheetData>
  <mergeCells count="39">
    <mergeCell ref="A1:H1"/>
    <mergeCell ref="A2:H2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A10:C10"/>
    <mergeCell ref="D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C15"/>
    <mergeCell ref="D15:H15"/>
    <mergeCell ref="A16:C16"/>
    <mergeCell ref="D16:H16"/>
    <mergeCell ref="A17:C17"/>
    <mergeCell ref="D17:H17"/>
    <mergeCell ref="A18:C18"/>
    <mergeCell ref="D18:H18"/>
    <mergeCell ref="A19:C19"/>
    <mergeCell ref="D19:H19"/>
    <mergeCell ref="A20:C20"/>
    <mergeCell ref="D20:H20"/>
    <mergeCell ref="A23:H23"/>
    <mergeCell ref="A25:D25"/>
    <mergeCell ref="E25:H25"/>
  </mergeCells>
  <pageSetup paperSize="9" orientation="portrait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"/>
  <sheetViews>
    <sheetView workbookViewId="0" showGridLines="0"/>
  </sheetViews>
  <sheetFormatPr defaultRowHeight="15" outlineLevelRow="0" outlineLevelCol="0" x14ac:dyDescent="55"/>
  <cols>
    <col min="1" max="8" width="17" customWidth="1"/>
  </cols>
  <sheetData>
    <row r="1" ht="33" customHeight="1" spans="1:8" x14ac:dyDescent="0.25">
      <c r="A1" s="1" t="s">
        <v>97</v>
      </c>
      <c r="B1" s="1"/>
      <c r="C1" s="1"/>
      <c r="D1" s="1"/>
      <c r="E1" s="1"/>
      <c r="F1" s="1"/>
      <c r="G1" s="1"/>
      <c r="H1" s="1"/>
    </row>
    <row r="2" spans="1:8" x14ac:dyDescent="0.25">
      <c r="A2" t="s">
        <v>98</v>
      </c>
      <c r="B2"/>
      <c r="C2"/>
      <c r="D2"/>
      <c r="E2"/>
      <c r="F2"/>
      <c r="G2"/>
      <c r="H2"/>
    </row>
    <row r="4" ht="34" customHeight="1" spans="1:8" x14ac:dyDescent="0.25">
      <c r="A4" s="7" t="s">
        <v>91</v>
      </c>
      <c r="B4" s="7"/>
      <c r="C4" s="7"/>
      <c r="D4" s="8" t="str">
        <f>Ввод_работ!A11</f>
        <v>1.6</v>
      </c>
      <c r="E4" s="8"/>
      <c r="F4" s="8"/>
      <c r="G4" s="8"/>
      <c r="H4" s="8"/>
    </row>
    <row r="5" ht="34" customHeight="1" spans="1:8" x14ac:dyDescent="0.25">
      <c r="A5" s="7" t="s">
        <v>1</v>
      </c>
      <c r="B5" s="7"/>
      <c r="C5" s="7"/>
      <c r="D5" s="8" t="str">
        <f>Реквизиты!B3</f>
        <v>Учебный объект (вымышленно)</v>
      </c>
      <c r="E5" s="8"/>
      <c r="F5" s="8"/>
      <c r="G5" s="8"/>
      <c r="H5" s="8"/>
    </row>
    <row r="6" ht="34" customHeight="1" spans="1:8" x14ac:dyDescent="0.25">
      <c r="A6" s="7" t="s">
        <v>5</v>
      </c>
      <c r="B6" s="7"/>
      <c r="C6" s="7"/>
      <c r="D6" s="8" t="str">
        <f>Реквизиты!B5</f>
        <v>Учебная улица, дом 1, Примерный город</v>
      </c>
      <c r="E6" s="8"/>
      <c r="F6" s="8"/>
      <c r="G6" s="8"/>
      <c r="H6" s="8"/>
    </row>
    <row r="7" ht="34" customHeight="1" spans="1:8" x14ac:dyDescent="0.25">
      <c r="A7" s="7" t="s">
        <v>7</v>
      </c>
      <c r="B7" s="7"/>
      <c r="C7" s="7"/>
      <c r="D7" s="8" t="str">
        <f>Реквизиты!B6</f>
        <v>Учебный заказчик</v>
      </c>
      <c r="E7" s="8"/>
      <c r="F7" s="8"/>
      <c r="G7" s="8"/>
      <c r="H7" s="8"/>
    </row>
    <row r="8" ht="34" customHeight="1" spans="1:8" x14ac:dyDescent="0.25">
      <c r="A8" s="7" t="s">
        <v>9</v>
      </c>
      <c r="B8" s="7"/>
      <c r="C8" s="7"/>
      <c r="D8" s="8" t="str">
        <f>Реквизиты!B7</f>
        <v>ООО «Пример-Кровля» (вымышленно)</v>
      </c>
      <c r="E8" s="8"/>
      <c r="F8" s="8"/>
      <c r="G8" s="8"/>
      <c r="H8" s="8"/>
    </row>
    <row r="9" ht="34" customHeight="1" spans="1:8" x14ac:dyDescent="0.25">
      <c r="A9" s="7" t="s">
        <v>11</v>
      </c>
      <c r="B9" s="7"/>
      <c r="C9" s="7"/>
      <c r="D9" s="8" t="str">
        <f>Реквизиты!B8</f>
        <v>Проектное бюро «Образец» (вымышленно)</v>
      </c>
      <c r="E9" s="8"/>
      <c r="F9" s="8"/>
      <c r="G9" s="8"/>
      <c r="H9" s="8"/>
    </row>
    <row r="10" ht="34" customHeight="1" spans="1:8" x14ac:dyDescent="0.25">
      <c r="A10" s="7" t="s">
        <v>28</v>
      </c>
      <c r="B10" s="7"/>
      <c r="C10" s="7"/>
      <c r="D10" s="8" t="str">
        <f>Ввод_работ!E11</f>
        <v/>
      </c>
      <c r="E10" s="8"/>
      <c r="F10" s="8"/>
      <c r="G10" s="8"/>
      <c r="H10" s="8"/>
    </row>
    <row r="11" ht="62" customHeight="1" spans="1:8" x14ac:dyDescent="0.25">
      <c r="A11" s="7" t="s">
        <v>99</v>
      </c>
      <c r="B11" s="7"/>
      <c r="C11" s="7"/>
      <c r="D11" s="8" t="str">
        <f>Ввод_работ!B11</f>
        <v/>
      </c>
      <c r="E11" s="8"/>
      <c r="F11" s="8"/>
      <c r="G11" s="8"/>
      <c r="H11" s="8"/>
    </row>
    <row r="12" ht="34" customHeight="1" spans="1:8" x14ac:dyDescent="0.25">
      <c r="A12" s="7" t="s">
        <v>100</v>
      </c>
      <c r="B12" s="7"/>
      <c r="C12" s="7"/>
      <c r="D12" s="8" t="str">
        <f>Ввод_работ!C11</f>
        <v/>
      </c>
      <c r="E12" s="8"/>
      <c r="F12" s="8"/>
      <c r="G12" s="8"/>
      <c r="H12" s="8"/>
    </row>
    <row r="13" ht="34" customHeight="1" spans="1:8" x14ac:dyDescent="0.25">
      <c r="A13" s="7" t="s">
        <v>101</v>
      </c>
      <c r="B13" s="7"/>
      <c r="C13" s="7"/>
      <c r="D13" s="8" t="str">
        <f>Ввод_работ!D11</f>
        <v/>
      </c>
      <c r="E13" s="8"/>
      <c r="F13" s="8"/>
      <c r="G13" s="8"/>
      <c r="H13" s="8"/>
    </row>
    <row r="14" ht="34" customHeight="1" spans="1:8" x14ac:dyDescent="0.25">
      <c r="A14" s="7" t="s">
        <v>102</v>
      </c>
      <c r="B14" s="7"/>
      <c r="C14" s="7"/>
      <c r="D14" s="8" t="str">
        <f>Ввод_работ!F11</f>
        <v/>
      </c>
      <c r="E14" s="8"/>
      <c r="F14" s="8"/>
      <c r="G14" s="8"/>
      <c r="H14" s="8"/>
    </row>
    <row r="15" ht="34" customHeight="1" spans="1:8" x14ac:dyDescent="0.25">
      <c r="A15" s="7" t="s">
        <v>103</v>
      </c>
      <c r="B15" s="7"/>
      <c r="C15" s="7"/>
      <c r="D15" s="8" t="str">
        <f>Ввод_работ!G11</f>
        <v/>
      </c>
      <c r="E15" s="8"/>
      <c r="F15" s="8"/>
      <c r="G15" s="8"/>
      <c r="H15" s="8"/>
    </row>
    <row r="16" ht="82" customHeight="1" spans="1:8" x14ac:dyDescent="0.25">
      <c r="A16" s="7" t="s">
        <v>31</v>
      </c>
      <c r="B16" s="7"/>
      <c r="C16" s="7"/>
      <c r="D16" s="8" t="str">
        <f>Ввод_работ!H11</f>
        <v/>
      </c>
      <c r="E16" s="8"/>
      <c r="F16" s="8"/>
      <c r="G16" s="8"/>
      <c r="H16" s="8"/>
    </row>
    <row r="17" ht="34" customHeight="1" spans="1:8" x14ac:dyDescent="0.25">
      <c r="A17" s="7" t="s">
        <v>104</v>
      </c>
      <c r="B17" s="7"/>
      <c r="C17" s="7"/>
      <c r="D17" s="8" t="str">
        <f>Ввод_работ!I11</f>
        <v/>
      </c>
      <c r="E17" s="8"/>
      <c r="F17" s="8"/>
      <c r="G17" s="8"/>
      <c r="H17" s="8"/>
    </row>
    <row r="18" ht="34" customHeight="1" spans="1:8" x14ac:dyDescent="0.25">
      <c r="A18" s="7" t="s">
        <v>105</v>
      </c>
      <c r="B18" s="7"/>
      <c r="C18" s="7"/>
      <c r="D18" s="8" t="str">
        <f>Ввод_работ!J11</f>
        <v/>
      </c>
      <c r="E18" s="8"/>
      <c r="F18" s="8"/>
      <c r="G18" s="8"/>
      <c r="H18" s="8"/>
    </row>
    <row r="19" ht="34" customHeight="1" spans="1:8" x14ac:dyDescent="0.25">
      <c r="A19" s="7" t="s">
        <v>106</v>
      </c>
      <c r="B19" s="7"/>
      <c r="C19" s="7"/>
      <c r="D19" s="8" t="str">
        <f>Ввод_работ!K11</f>
        <v/>
      </c>
      <c r="E19" s="8"/>
      <c r="F19" s="8"/>
      <c r="G19" s="8"/>
      <c r="H19" s="8"/>
    </row>
    <row r="20" ht="34" customHeight="1" spans="1:8" x14ac:dyDescent="0.25">
      <c r="A20" s="7" t="s">
        <v>107</v>
      </c>
      <c r="B20" s="7"/>
      <c r="C20" s="7"/>
      <c r="D20" s="8" t="str">
        <f>Ввод_работ!L11</f>
        <v/>
      </c>
      <c r="E20" s="8"/>
      <c r="F20" s="8"/>
      <c r="G20" s="8"/>
      <c r="H20" s="8"/>
    </row>
    <row r="23" spans="1:8" x14ac:dyDescent="0.25">
      <c r="A23" t="s">
        <v>108</v>
      </c>
      <c r="B23"/>
      <c r="C23"/>
      <c r="D23"/>
      <c r="E23"/>
      <c r="F23"/>
      <c r="G23"/>
      <c r="H23"/>
    </row>
    <row r="25" spans="1:8" x14ac:dyDescent="0.25">
      <c r="A25" t="s">
        <v>109</v>
      </c>
      <c r="B25"/>
      <c r="C25"/>
      <c r="D25"/>
      <c r="E25" t="s">
        <v>110</v>
      </c>
      <c r="F25"/>
      <c r="G25"/>
      <c r="H25"/>
    </row>
  </sheetData>
  <mergeCells count="39">
    <mergeCell ref="A1:H1"/>
    <mergeCell ref="A2:H2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A10:C10"/>
    <mergeCell ref="D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C15"/>
    <mergeCell ref="D15:H15"/>
    <mergeCell ref="A16:C16"/>
    <mergeCell ref="D16:H16"/>
    <mergeCell ref="A17:C17"/>
    <mergeCell ref="D17:H17"/>
    <mergeCell ref="A18:C18"/>
    <mergeCell ref="D18:H18"/>
    <mergeCell ref="A19:C19"/>
    <mergeCell ref="D19:H19"/>
    <mergeCell ref="A20:C20"/>
    <mergeCell ref="D20:H20"/>
    <mergeCell ref="A23:H23"/>
    <mergeCell ref="A25:D25"/>
    <mergeCell ref="E25:H25"/>
  </mergeCells>
  <pageSetup paperSize="9" orientation="portrait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"/>
  <sheetViews>
    <sheetView workbookViewId="0" showGridLines="0"/>
  </sheetViews>
  <sheetFormatPr defaultRowHeight="15" outlineLevelRow="0" outlineLevelCol="0" x14ac:dyDescent="55"/>
  <cols>
    <col min="1" max="8" width="17" customWidth="1"/>
  </cols>
  <sheetData>
    <row r="1" ht="33" customHeight="1" spans="1:8" x14ac:dyDescent="0.25">
      <c r="A1" s="1" t="s">
        <v>97</v>
      </c>
      <c r="B1" s="1"/>
      <c r="C1" s="1"/>
      <c r="D1" s="1"/>
      <c r="E1" s="1"/>
      <c r="F1" s="1"/>
      <c r="G1" s="1"/>
      <c r="H1" s="1"/>
    </row>
    <row r="2" spans="1:8" x14ac:dyDescent="0.25">
      <c r="A2" t="s">
        <v>98</v>
      </c>
      <c r="B2"/>
      <c r="C2"/>
      <c r="D2"/>
      <c r="E2"/>
      <c r="F2"/>
      <c r="G2"/>
      <c r="H2"/>
    </row>
    <row r="4" ht="34" customHeight="1" spans="1:8" x14ac:dyDescent="0.25">
      <c r="A4" s="7" t="s">
        <v>91</v>
      </c>
      <c r="B4" s="7"/>
      <c r="C4" s="7"/>
      <c r="D4" s="8" t="str">
        <f>Ввод_работ!A12</f>
        <v>1.7</v>
      </c>
      <c r="E4" s="8"/>
      <c r="F4" s="8"/>
      <c r="G4" s="8"/>
      <c r="H4" s="8"/>
    </row>
    <row r="5" ht="34" customHeight="1" spans="1:8" x14ac:dyDescent="0.25">
      <c r="A5" s="7" t="s">
        <v>1</v>
      </c>
      <c r="B5" s="7"/>
      <c r="C5" s="7"/>
      <c r="D5" s="8" t="str">
        <f>Реквизиты!B3</f>
        <v>Учебный объект (вымышленно)</v>
      </c>
      <c r="E5" s="8"/>
      <c r="F5" s="8"/>
      <c r="G5" s="8"/>
      <c r="H5" s="8"/>
    </row>
    <row r="6" ht="34" customHeight="1" spans="1:8" x14ac:dyDescent="0.25">
      <c r="A6" s="7" t="s">
        <v>5</v>
      </c>
      <c r="B6" s="7"/>
      <c r="C6" s="7"/>
      <c r="D6" s="8" t="str">
        <f>Реквизиты!B5</f>
        <v>Учебная улица, дом 1, Примерный город</v>
      </c>
      <c r="E6" s="8"/>
      <c r="F6" s="8"/>
      <c r="G6" s="8"/>
      <c r="H6" s="8"/>
    </row>
    <row r="7" ht="34" customHeight="1" spans="1:8" x14ac:dyDescent="0.25">
      <c r="A7" s="7" t="s">
        <v>7</v>
      </c>
      <c r="B7" s="7"/>
      <c r="C7" s="7"/>
      <c r="D7" s="8" t="str">
        <f>Реквизиты!B6</f>
        <v>Учебный заказчик</v>
      </c>
      <c r="E7" s="8"/>
      <c r="F7" s="8"/>
      <c r="G7" s="8"/>
      <c r="H7" s="8"/>
    </row>
    <row r="8" ht="34" customHeight="1" spans="1:8" x14ac:dyDescent="0.25">
      <c r="A8" s="7" t="s">
        <v>9</v>
      </c>
      <c r="B8" s="7"/>
      <c r="C8" s="7"/>
      <c r="D8" s="8" t="str">
        <f>Реквизиты!B7</f>
        <v>ООО «Пример-Кровля» (вымышленно)</v>
      </c>
      <c r="E8" s="8"/>
      <c r="F8" s="8"/>
      <c r="G8" s="8"/>
      <c r="H8" s="8"/>
    </row>
    <row r="9" ht="34" customHeight="1" spans="1:8" x14ac:dyDescent="0.25">
      <c r="A9" s="7" t="s">
        <v>11</v>
      </c>
      <c r="B9" s="7"/>
      <c r="C9" s="7"/>
      <c r="D9" s="8" t="str">
        <f>Реквизиты!B8</f>
        <v>Проектное бюро «Образец» (вымышленно)</v>
      </c>
      <c r="E9" s="8"/>
      <c r="F9" s="8"/>
      <c r="G9" s="8"/>
      <c r="H9" s="8"/>
    </row>
    <row r="10" ht="34" customHeight="1" spans="1:8" x14ac:dyDescent="0.25">
      <c r="A10" s="7" t="s">
        <v>28</v>
      </c>
      <c r="B10" s="7"/>
      <c r="C10" s="7"/>
      <c r="D10" s="8" t="str">
        <f>Ввод_работ!E12</f>
        <v/>
      </c>
      <c r="E10" s="8"/>
      <c r="F10" s="8"/>
      <c r="G10" s="8"/>
      <c r="H10" s="8"/>
    </row>
    <row r="11" ht="62" customHeight="1" spans="1:8" x14ac:dyDescent="0.25">
      <c r="A11" s="7" t="s">
        <v>99</v>
      </c>
      <c r="B11" s="7"/>
      <c r="C11" s="7"/>
      <c r="D11" s="8" t="str">
        <f>Ввод_работ!B12</f>
        <v/>
      </c>
      <c r="E11" s="8"/>
      <c r="F11" s="8"/>
      <c r="G11" s="8"/>
      <c r="H11" s="8"/>
    </row>
    <row r="12" ht="34" customHeight="1" spans="1:8" x14ac:dyDescent="0.25">
      <c r="A12" s="7" t="s">
        <v>100</v>
      </c>
      <c r="B12" s="7"/>
      <c r="C12" s="7"/>
      <c r="D12" s="8" t="str">
        <f>Ввод_работ!C12</f>
        <v/>
      </c>
      <c r="E12" s="8"/>
      <c r="F12" s="8"/>
      <c r="G12" s="8"/>
      <c r="H12" s="8"/>
    </row>
    <row r="13" ht="34" customHeight="1" spans="1:8" x14ac:dyDescent="0.25">
      <c r="A13" s="7" t="s">
        <v>101</v>
      </c>
      <c r="B13" s="7"/>
      <c r="C13" s="7"/>
      <c r="D13" s="8" t="str">
        <f>Ввод_работ!D12</f>
        <v/>
      </c>
      <c r="E13" s="8"/>
      <c r="F13" s="8"/>
      <c r="G13" s="8"/>
      <c r="H13" s="8"/>
    </row>
    <row r="14" ht="34" customHeight="1" spans="1:8" x14ac:dyDescent="0.25">
      <c r="A14" s="7" t="s">
        <v>102</v>
      </c>
      <c r="B14" s="7"/>
      <c r="C14" s="7"/>
      <c r="D14" s="8" t="str">
        <f>Ввод_работ!F12</f>
        <v/>
      </c>
      <c r="E14" s="8"/>
      <c r="F14" s="8"/>
      <c r="G14" s="8"/>
      <c r="H14" s="8"/>
    </row>
    <row r="15" ht="34" customHeight="1" spans="1:8" x14ac:dyDescent="0.25">
      <c r="A15" s="7" t="s">
        <v>103</v>
      </c>
      <c r="B15" s="7"/>
      <c r="C15" s="7"/>
      <c r="D15" s="8" t="str">
        <f>Ввод_работ!G12</f>
        <v/>
      </c>
      <c r="E15" s="8"/>
      <c r="F15" s="8"/>
      <c r="G15" s="8"/>
      <c r="H15" s="8"/>
    </row>
    <row r="16" ht="82" customHeight="1" spans="1:8" x14ac:dyDescent="0.25">
      <c r="A16" s="7" t="s">
        <v>31</v>
      </c>
      <c r="B16" s="7"/>
      <c r="C16" s="7"/>
      <c r="D16" s="8" t="str">
        <f>Ввод_работ!H12</f>
        <v/>
      </c>
      <c r="E16" s="8"/>
      <c r="F16" s="8"/>
      <c r="G16" s="8"/>
      <c r="H16" s="8"/>
    </row>
    <row r="17" ht="34" customHeight="1" spans="1:8" x14ac:dyDescent="0.25">
      <c r="A17" s="7" t="s">
        <v>104</v>
      </c>
      <c r="B17" s="7"/>
      <c r="C17" s="7"/>
      <c r="D17" s="8" t="str">
        <f>Ввод_работ!I12</f>
        <v/>
      </c>
      <c r="E17" s="8"/>
      <c r="F17" s="8"/>
      <c r="G17" s="8"/>
      <c r="H17" s="8"/>
    </row>
    <row r="18" ht="34" customHeight="1" spans="1:8" x14ac:dyDescent="0.25">
      <c r="A18" s="7" t="s">
        <v>105</v>
      </c>
      <c r="B18" s="7"/>
      <c r="C18" s="7"/>
      <c r="D18" s="8" t="str">
        <f>Ввод_работ!J12</f>
        <v/>
      </c>
      <c r="E18" s="8"/>
      <c r="F18" s="8"/>
      <c r="G18" s="8"/>
      <c r="H18" s="8"/>
    </row>
    <row r="19" ht="34" customHeight="1" spans="1:8" x14ac:dyDescent="0.25">
      <c r="A19" s="7" t="s">
        <v>106</v>
      </c>
      <c r="B19" s="7"/>
      <c r="C19" s="7"/>
      <c r="D19" s="8" t="str">
        <f>Ввод_работ!K12</f>
        <v/>
      </c>
      <c r="E19" s="8"/>
      <c r="F19" s="8"/>
      <c r="G19" s="8"/>
      <c r="H19" s="8"/>
    </row>
    <row r="20" ht="34" customHeight="1" spans="1:8" x14ac:dyDescent="0.25">
      <c r="A20" s="7" t="s">
        <v>107</v>
      </c>
      <c r="B20" s="7"/>
      <c r="C20" s="7"/>
      <c r="D20" s="8" t="str">
        <f>Ввод_работ!L12</f>
        <v/>
      </c>
      <c r="E20" s="8"/>
      <c r="F20" s="8"/>
      <c r="G20" s="8"/>
      <c r="H20" s="8"/>
    </row>
    <row r="23" spans="1:8" x14ac:dyDescent="0.25">
      <c r="A23" t="s">
        <v>108</v>
      </c>
      <c r="B23"/>
      <c r="C23"/>
      <c r="D23"/>
      <c r="E23"/>
      <c r="F23"/>
      <c r="G23"/>
      <c r="H23"/>
    </row>
    <row r="25" spans="1:8" x14ac:dyDescent="0.25">
      <c r="A25" t="s">
        <v>109</v>
      </c>
      <c r="B25"/>
      <c r="C25"/>
      <c r="D25"/>
      <c r="E25" t="s">
        <v>110</v>
      </c>
      <c r="F25"/>
      <c r="G25"/>
      <c r="H25"/>
    </row>
  </sheetData>
  <mergeCells count="39">
    <mergeCell ref="A1:H1"/>
    <mergeCell ref="A2:H2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A10:C10"/>
    <mergeCell ref="D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C15"/>
    <mergeCell ref="D15:H15"/>
    <mergeCell ref="A16:C16"/>
    <mergeCell ref="D16:H16"/>
    <mergeCell ref="A17:C17"/>
    <mergeCell ref="D17:H17"/>
    <mergeCell ref="A18:C18"/>
    <mergeCell ref="D18:H18"/>
    <mergeCell ref="A19:C19"/>
    <mergeCell ref="D19:H19"/>
    <mergeCell ref="A20:C20"/>
    <mergeCell ref="D20:H20"/>
    <mergeCell ref="A23:H23"/>
    <mergeCell ref="A25:D25"/>
    <mergeCell ref="E25:H25"/>
  </mergeCells>
  <pageSetup paperSize="9" orientation="portrait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"/>
  <sheetViews>
    <sheetView workbookViewId="0" showGridLines="0"/>
  </sheetViews>
  <sheetFormatPr defaultRowHeight="15" outlineLevelRow="0" outlineLevelCol="0" x14ac:dyDescent="55"/>
  <cols>
    <col min="1" max="8" width="17" customWidth="1"/>
  </cols>
  <sheetData>
    <row r="1" ht="33" customHeight="1" spans="1:8" x14ac:dyDescent="0.25">
      <c r="A1" s="1" t="s">
        <v>97</v>
      </c>
      <c r="B1" s="1"/>
      <c r="C1" s="1"/>
      <c r="D1" s="1"/>
      <c r="E1" s="1"/>
      <c r="F1" s="1"/>
      <c r="G1" s="1"/>
      <c r="H1" s="1"/>
    </row>
    <row r="2" spans="1:8" x14ac:dyDescent="0.25">
      <c r="A2" t="s">
        <v>98</v>
      </c>
      <c r="B2"/>
      <c r="C2"/>
      <c r="D2"/>
      <c r="E2"/>
      <c r="F2"/>
      <c r="G2"/>
      <c r="H2"/>
    </row>
    <row r="4" ht="34" customHeight="1" spans="1:8" x14ac:dyDescent="0.25">
      <c r="A4" s="7" t="s">
        <v>91</v>
      </c>
      <c r="B4" s="7"/>
      <c r="C4" s="7"/>
      <c r="D4" s="8" t="str">
        <f>Ввод_работ!A13</f>
        <v>1.8</v>
      </c>
      <c r="E4" s="8"/>
      <c r="F4" s="8"/>
      <c r="G4" s="8"/>
      <c r="H4" s="8"/>
    </row>
    <row r="5" ht="34" customHeight="1" spans="1:8" x14ac:dyDescent="0.25">
      <c r="A5" s="7" t="s">
        <v>1</v>
      </c>
      <c r="B5" s="7"/>
      <c r="C5" s="7"/>
      <c r="D5" s="8" t="str">
        <f>Реквизиты!B3</f>
        <v>Учебный объект (вымышленно)</v>
      </c>
      <c r="E5" s="8"/>
      <c r="F5" s="8"/>
      <c r="G5" s="8"/>
      <c r="H5" s="8"/>
    </row>
    <row r="6" ht="34" customHeight="1" spans="1:8" x14ac:dyDescent="0.25">
      <c r="A6" s="7" t="s">
        <v>5</v>
      </c>
      <c r="B6" s="7"/>
      <c r="C6" s="7"/>
      <c r="D6" s="8" t="str">
        <f>Реквизиты!B5</f>
        <v>Учебная улица, дом 1, Примерный город</v>
      </c>
      <c r="E6" s="8"/>
      <c r="F6" s="8"/>
      <c r="G6" s="8"/>
      <c r="H6" s="8"/>
    </row>
    <row r="7" ht="34" customHeight="1" spans="1:8" x14ac:dyDescent="0.25">
      <c r="A7" s="7" t="s">
        <v>7</v>
      </c>
      <c r="B7" s="7"/>
      <c r="C7" s="7"/>
      <c r="D7" s="8" t="str">
        <f>Реквизиты!B6</f>
        <v>Учебный заказчик</v>
      </c>
      <c r="E7" s="8"/>
      <c r="F7" s="8"/>
      <c r="G7" s="8"/>
      <c r="H7" s="8"/>
    </row>
    <row r="8" ht="34" customHeight="1" spans="1:8" x14ac:dyDescent="0.25">
      <c r="A8" s="7" t="s">
        <v>9</v>
      </c>
      <c r="B8" s="7"/>
      <c r="C8" s="7"/>
      <c r="D8" s="8" t="str">
        <f>Реквизиты!B7</f>
        <v>ООО «Пример-Кровля» (вымышленно)</v>
      </c>
      <c r="E8" s="8"/>
      <c r="F8" s="8"/>
      <c r="G8" s="8"/>
      <c r="H8" s="8"/>
    </row>
    <row r="9" ht="34" customHeight="1" spans="1:8" x14ac:dyDescent="0.25">
      <c r="A9" s="7" t="s">
        <v>11</v>
      </c>
      <c r="B9" s="7"/>
      <c r="C9" s="7"/>
      <c r="D9" s="8" t="str">
        <f>Реквизиты!B8</f>
        <v>Проектное бюро «Образец» (вымышленно)</v>
      </c>
      <c r="E9" s="8"/>
      <c r="F9" s="8"/>
      <c r="G9" s="8"/>
      <c r="H9" s="8"/>
    </row>
    <row r="10" ht="34" customHeight="1" spans="1:8" x14ac:dyDescent="0.25">
      <c r="A10" s="7" t="s">
        <v>28</v>
      </c>
      <c r="B10" s="7"/>
      <c r="C10" s="7"/>
      <c r="D10" s="8" t="str">
        <f>Ввод_работ!E13</f>
        <v/>
      </c>
      <c r="E10" s="8"/>
      <c r="F10" s="8"/>
      <c r="G10" s="8"/>
      <c r="H10" s="8"/>
    </row>
    <row r="11" ht="62" customHeight="1" spans="1:8" x14ac:dyDescent="0.25">
      <c r="A11" s="7" t="s">
        <v>99</v>
      </c>
      <c r="B11" s="7"/>
      <c r="C11" s="7"/>
      <c r="D11" s="8" t="str">
        <f>Ввод_работ!B13</f>
        <v/>
      </c>
      <c r="E11" s="8"/>
      <c r="F11" s="8"/>
      <c r="G11" s="8"/>
      <c r="H11" s="8"/>
    </row>
    <row r="12" ht="34" customHeight="1" spans="1:8" x14ac:dyDescent="0.25">
      <c r="A12" s="7" t="s">
        <v>100</v>
      </c>
      <c r="B12" s="7"/>
      <c r="C12" s="7"/>
      <c r="D12" s="8" t="str">
        <f>Ввод_работ!C13</f>
        <v/>
      </c>
      <c r="E12" s="8"/>
      <c r="F12" s="8"/>
      <c r="G12" s="8"/>
      <c r="H12" s="8"/>
    </row>
    <row r="13" ht="34" customHeight="1" spans="1:8" x14ac:dyDescent="0.25">
      <c r="A13" s="7" t="s">
        <v>101</v>
      </c>
      <c r="B13" s="7"/>
      <c r="C13" s="7"/>
      <c r="D13" s="8" t="str">
        <f>Ввод_работ!D13</f>
        <v/>
      </c>
      <c r="E13" s="8"/>
      <c r="F13" s="8"/>
      <c r="G13" s="8"/>
      <c r="H13" s="8"/>
    </row>
    <row r="14" ht="34" customHeight="1" spans="1:8" x14ac:dyDescent="0.25">
      <c r="A14" s="7" t="s">
        <v>102</v>
      </c>
      <c r="B14" s="7"/>
      <c r="C14" s="7"/>
      <c r="D14" s="8" t="str">
        <f>Ввод_работ!F13</f>
        <v/>
      </c>
      <c r="E14" s="8"/>
      <c r="F14" s="8"/>
      <c r="G14" s="8"/>
      <c r="H14" s="8"/>
    </row>
    <row r="15" ht="34" customHeight="1" spans="1:8" x14ac:dyDescent="0.25">
      <c r="A15" s="7" t="s">
        <v>103</v>
      </c>
      <c r="B15" s="7"/>
      <c r="C15" s="7"/>
      <c r="D15" s="8" t="str">
        <f>Ввод_работ!G13</f>
        <v/>
      </c>
      <c r="E15" s="8"/>
      <c r="F15" s="8"/>
      <c r="G15" s="8"/>
      <c r="H15" s="8"/>
    </row>
    <row r="16" ht="82" customHeight="1" spans="1:8" x14ac:dyDescent="0.25">
      <c r="A16" s="7" t="s">
        <v>31</v>
      </c>
      <c r="B16" s="7"/>
      <c r="C16" s="7"/>
      <c r="D16" s="8" t="str">
        <f>Ввод_работ!H13</f>
        <v/>
      </c>
      <c r="E16" s="8"/>
      <c r="F16" s="8"/>
      <c r="G16" s="8"/>
      <c r="H16" s="8"/>
    </row>
    <row r="17" ht="34" customHeight="1" spans="1:8" x14ac:dyDescent="0.25">
      <c r="A17" s="7" t="s">
        <v>104</v>
      </c>
      <c r="B17" s="7"/>
      <c r="C17" s="7"/>
      <c r="D17" s="8" t="str">
        <f>Ввод_работ!I13</f>
        <v/>
      </c>
      <c r="E17" s="8"/>
      <c r="F17" s="8"/>
      <c r="G17" s="8"/>
      <c r="H17" s="8"/>
    </row>
    <row r="18" ht="34" customHeight="1" spans="1:8" x14ac:dyDescent="0.25">
      <c r="A18" s="7" t="s">
        <v>105</v>
      </c>
      <c r="B18" s="7"/>
      <c r="C18" s="7"/>
      <c r="D18" s="8" t="str">
        <f>Ввод_работ!J13</f>
        <v/>
      </c>
      <c r="E18" s="8"/>
      <c r="F18" s="8"/>
      <c r="G18" s="8"/>
      <c r="H18" s="8"/>
    </row>
    <row r="19" ht="34" customHeight="1" spans="1:8" x14ac:dyDescent="0.25">
      <c r="A19" s="7" t="s">
        <v>106</v>
      </c>
      <c r="B19" s="7"/>
      <c r="C19" s="7"/>
      <c r="D19" s="8" t="str">
        <f>Ввод_работ!K13</f>
        <v/>
      </c>
      <c r="E19" s="8"/>
      <c r="F19" s="8"/>
      <c r="G19" s="8"/>
      <c r="H19" s="8"/>
    </row>
    <row r="20" ht="34" customHeight="1" spans="1:8" x14ac:dyDescent="0.25">
      <c r="A20" s="7" t="s">
        <v>107</v>
      </c>
      <c r="B20" s="7"/>
      <c r="C20" s="7"/>
      <c r="D20" s="8" t="str">
        <f>Ввод_работ!L13</f>
        <v/>
      </c>
      <c r="E20" s="8"/>
      <c r="F20" s="8"/>
      <c r="G20" s="8"/>
      <c r="H20" s="8"/>
    </row>
    <row r="23" spans="1:8" x14ac:dyDescent="0.25">
      <c r="A23" t="s">
        <v>108</v>
      </c>
      <c r="B23"/>
      <c r="C23"/>
      <c r="D23"/>
      <c r="E23"/>
      <c r="F23"/>
      <c r="G23"/>
      <c r="H23"/>
    </row>
    <row r="25" spans="1:8" x14ac:dyDescent="0.25">
      <c r="A25" t="s">
        <v>109</v>
      </c>
      <c r="B25"/>
      <c r="C25"/>
      <c r="D25"/>
      <c r="E25" t="s">
        <v>110</v>
      </c>
      <c r="F25"/>
      <c r="G25"/>
      <c r="H25"/>
    </row>
  </sheetData>
  <mergeCells count="39">
    <mergeCell ref="A1:H1"/>
    <mergeCell ref="A2:H2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A10:C10"/>
    <mergeCell ref="D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C15"/>
    <mergeCell ref="D15:H15"/>
    <mergeCell ref="A16:C16"/>
    <mergeCell ref="D16:H16"/>
    <mergeCell ref="A17:C17"/>
    <mergeCell ref="D17:H17"/>
    <mergeCell ref="A18:C18"/>
    <mergeCell ref="D18:H18"/>
    <mergeCell ref="A19:C19"/>
    <mergeCell ref="D19:H19"/>
    <mergeCell ref="A20:C20"/>
    <mergeCell ref="D20:H20"/>
    <mergeCell ref="A23:H23"/>
    <mergeCell ref="A25:D25"/>
    <mergeCell ref="E25:H25"/>
  </mergeCells>
  <pageSetup paperSize="9" orientation="portrait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"/>
  <sheetViews>
    <sheetView workbookViewId="0" showGridLines="0"/>
  </sheetViews>
  <sheetFormatPr defaultRowHeight="15" outlineLevelRow="0" outlineLevelCol="0" x14ac:dyDescent="55"/>
  <cols>
    <col min="1" max="8" width="17" customWidth="1"/>
  </cols>
  <sheetData>
    <row r="1" ht="33" customHeight="1" spans="1:8" x14ac:dyDescent="0.25">
      <c r="A1" s="1" t="s">
        <v>97</v>
      </c>
      <c r="B1" s="1"/>
      <c r="C1" s="1"/>
      <c r="D1" s="1"/>
      <c r="E1" s="1"/>
      <c r="F1" s="1"/>
      <c r="G1" s="1"/>
      <c r="H1" s="1"/>
    </row>
    <row r="2" spans="1:8" x14ac:dyDescent="0.25">
      <c r="A2" t="s">
        <v>98</v>
      </c>
      <c r="B2"/>
      <c r="C2"/>
      <c r="D2"/>
      <c r="E2"/>
      <c r="F2"/>
      <c r="G2"/>
      <c r="H2"/>
    </row>
    <row r="4" ht="34" customHeight="1" spans="1:8" x14ac:dyDescent="0.25">
      <c r="A4" s="7" t="s">
        <v>91</v>
      </c>
      <c r="B4" s="7"/>
      <c r="C4" s="7"/>
      <c r="D4" s="8" t="str">
        <f>Ввод_работ!A14</f>
        <v>1.9</v>
      </c>
      <c r="E4" s="8"/>
      <c r="F4" s="8"/>
      <c r="G4" s="8"/>
      <c r="H4" s="8"/>
    </row>
    <row r="5" ht="34" customHeight="1" spans="1:8" x14ac:dyDescent="0.25">
      <c r="A5" s="7" t="s">
        <v>1</v>
      </c>
      <c r="B5" s="7"/>
      <c r="C5" s="7"/>
      <c r="D5" s="8" t="str">
        <f>Реквизиты!B3</f>
        <v>Учебный объект (вымышленно)</v>
      </c>
      <c r="E5" s="8"/>
      <c r="F5" s="8"/>
      <c r="G5" s="8"/>
      <c r="H5" s="8"/>
    </row>
    <row r="6" ht="34" customHeight="1" spans="1:8" x14ac:dyDescent="0.25">
      <c r="A6" s="7" t="s">
        <v>5</v>
      </c>
      <c r="B6" s="7"/>
      <c r="C6" s="7"/>
      <c r="D6" s="8" t="str">
        <f>Реквизиты!B5</f>
        <v>Учебная улица, дом 1, Примерный город</v>
      </c>
      <c r="E6" s="8"/>
      <c r="F6" s="8"/>
      <c r="G6" s="8"/>
      <c r="H6" s="8"/>
    </row>
    <row r="7" ht="34" customHeight="1" spans="1:8" x14ac:dyDescent="0.25">
      <c r="A7" s="7" t="s">
        <v>7</v>
      </c>
      <c r="B7" s="7"/>
      <c r="C7" s="7"/>
      <c r="D7" s="8" t="str">
        <f>Реквизиты!B6</f>
        <v>Учебный заказчик</v>
      </c>
      <c r="E7" s="8"/>
      <c r="F7" s="8"/>
      <c r="G7" s="8"/>
      <c r="H7" s="8"/>
    </row>
    <row r="8" ht="34" customHeight="1" spans="1:8" x14ac:dyDescent="0.25">
      <c r="A8" s="7" t="s">
        <v>9</v>
      </c>
      <c r="B8" s="7"/>
      <c r="C8" s="7"/>
      <c r="D8" s="8" t="str">
        <f>Реквизиты!B7</f>
        <v>ООО «Пример-Кровля» (вымышленно)</v>
      </c>
      <c r="E8" s="8"/>
      <c r="F8" s="8"/>
      <c r="G8" s="8"/>
      <c r="H8" s="8"/>
    </row>
    <row r="9" ht="34" customHeight="1" spans="1:8" x14ac:dyDescent="0.25">
      <c r="A9" s="7" t="s">
        <v>11</v>
      </c>
      <c r="B9" s="7"/>
      <c r="C9" s="7"/>
      <c r="D9" s="8" t="str">
        <f>Реквизиты!B8</f>
        <v>Проектное бюро «Образец» (вымышленно)</v>
      </c>
      <c r="E9" s="8"/>
      <c r="F9" s="8"/>
      <c r="G9" s="8"/>
      <c r="H9" s="8"/>
    </row>
    <row r="10" ht="34" customHeight="1" spans="1:8" x14ac:dyDescent="0.25">
      <c r="A10" s="7" t="s">
        <v>28</v>
      </c>
      <c r="B10" s="7"/>
      <c r="C10" s="7"/>
      <c r="D10" s="8" t="str">
        <f>Ввод_работ!E14</f>
        <v/>
      </c>
      <c r="E10" s="8"/>
      <c r="F10" s="8"/>
      <c r="G10" s="8"/>
      <c r="H10" s="8"/>
    </row>
    <row r="11" ht="62" customHeight="1" spans="1:8" x14ac:dyDescent="0.25">
      <c r="A11" s="7" t="s">
        <v>99</v>
      </c>
      <c r="B11" s="7"/>
      <c r="C11" s="7"/>
      <c r="D11" s="8" t="str">
        <f>Ввод_работ!B14</f>
        <v/>
      </c>
      <c r="E11" s="8"/>
      <c r="F11" s="8"/>
      <c r="G11" s="8"/>
      <c r="H11" s="8"/>
    </row>
    <row r="12" ht="34" customHeight="1" spans="1:8" x14ac:dyDescent="0.25">
      <c r="A12" s="7" t="s">
        <v>100</v>
      </c>
      <c r="B12" s="7"/>
      <c r="C12" s="7"/>
      <c r="D12" s="8" t="str">
        <f>Ввод_работ!C14</f>
        <v/>
      </c>
      <c r="E12" s="8"/>
      <c r="F12" s="8"/>
      <c r="G12" s="8"/>
      <c r="H12" s="8"/>
    </row>
    <row r="13" ht="34" customHeight="1" spans="1:8" x14ac:dyDescent="0.25">
      <c r="A13" s="7" t="s">
        <v>101</v>
      </c>
      <c r="B13" s="7"/>
      <c r="C13" s="7"/>
      <c r="D13" s="8" t="str">
        <f>Ввод_работ!D14</f>
        <v/>
      </c>
      <c r="E13" s="8"/>
      <c r="F13" s="8"/>
      <c r="G13" s="8"/>
      <c r="H13" s="8"/>
    </row>
    <row r="14" ht="34" customHeight="1" spans="1:8" x14ac:dyDescent="0.25">
      <c r="A14" s="7" t="s">
        <v>102</v>
      </c>
      <c r="B14" s="7"/>
      <c r="C14" s="7"/>
      <c r="D14" s="8" t="str">
        <f>Ввод_работ!F14</f>
        <v/>
      </c>
      <c r="E14" s="8"/>
      <c r="F14" s="8"/>
      <c r="G14" s="8"/>
      <c r="H14" s="8"/>
    </row>
    <row r="15" ht="34" customHeight="1" spans="1:8" x14ac:dyDescent="0.25">
      <c r="A15" s="7" t="s">
        <v>103</v>
      </c>
      <c r="B15" s="7"/>
      <c r="C15" s="7"/>
      <c r="D15" s="8" t="str">
        <f>Ввод_работ!G14</f>
        <v/>
      </c>
      <c r="E15" s="8"/>
      <c r="F15" s="8"/>
      <c r="G15" s="8"/>
      <c r="H15" s="8"/>
    </row>
    <row r="16" ht="82" customHeight="1" spans="1:8" x14ac:dyDescent="0.25">
      <c r="A16" s="7" t="s">
        <v>31</v>
      </c>
      <c r="B16" s="7"/>
      <c r="C16" s="7"/>
      <c r="D16" s="8" t="str">
        <f>Ввод_работ!H14</f>
        <v/>
      </c>
      <c r="E16" s="8"/>
      <c r="F16" s="8"/>
      <c r="G16" s="8"/>
      <c r="H16" s="8"/>
    </row>
    <row r="17" ht="34" customHeight="1" spans="1:8" x14ac:dyDescent="0.25">
      <c r="A17" s="7" t="s">
        <v>104</v>
      </c>
      <c r="B17" s="7"/>
      <c r="C17" s="7"/>
      <c r="D17" s="8" t="str">
        <f>Ввод_работ!I14</f>
        <v/>
      </c>
      <c r="E17" s="8"/>
      <c r="F17" s="8"/>
      <c r="G17" s="8"/>
      <c r="H17" s="8"/>
    </row>
    <row r="18" ht="34" customHeight="1" spans="1:8" x14ac:dyDescent="0.25">
      <c r="A18" s="7" t="s">
        <v>105</v>
      </c>
      <c r="B18" s="7"/>
      <c r="C18" s="7"/>
      <c r="D18" s="8" t="str">
        <f>Ввод_работ!J14</f>
        <v/>
      </c>
      <c r="E18" s="8"/>
      <c r="F18" s="8"/>
      <c r="G18" s="8"/>
      <c r="H18" s="8"/>
    </row>
    <row r="19" ht="34" customHeight="1" spans="1:8" x14ac:dyDescent="0.25">
      <c r="A19" s="7" t="s">
        <v>106</v>
      </c>
      <c r="B19" s="7"/>
      <c r="C19" s="7"/>
      <c r="D19" s="8" t="str">
        <f>Ввод_работ!K14</f>
        <v/>
      </c>
      <c r="E19" s="8"/>
      <c r="F19" s="8"/>
      <c r="G19" s="8"/>
      <c r="H19" s="8"/>
    </row>
    <row r="20" ht="34" customHeight="1" spans="1:8" x14ac:dyDescent="0.25">
      <c r="A20" s="7" t="s">
        <v>107</v>
      </c>
      <c r="B20" s="7"/>
      <c r="C20" s="7"/>
      <c r="D20" s="8" t="str">
        <f>Ввод_работ!L14</f>
        <v/>
      </c>
      <c r="E20" s="8"/>
      <c r="F20" s="8"/>
      <c r="G20" s="8"/>
      <c r="H20" s="8"/>
    </row>
    <row r="23" spans="1:8" x14ac:dyDescent="0.25">
      <c r="A23" t="s">
        <v>108</v>
      </c>
      <c r="B23"/>
      <c r="C23"/>
      <c r="D23"/>
      <c r="E23"/>
      <c r="F23"/>
      <c r="G23"/>
      <c r="H23"/>
    </row>
    <row r="25" spans="1:8" x14ac:dyDescent="0.25">
      <c r="A25" t="s">
        <v>109</v>
      </c>
      <c r="B25"/>
      <c r="C25"/>
      <c r="D25"/>
      <c r="E25" t="s">
        <v>110</v>
      </c>
      <c r="F25"/>
      <c r="G25"/>
      <c r="H25"/>
    </row>
  </sheetData>
  <mergeCells count="39">
    <mergeCell ref="A1:H1"/>
    <mergeCell ref="A2:H2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A10:C10"/>
    <mergeCell ref="D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C15"/>
    <mergeCell ref="D15:H15"/>
    <mergeCell ref="A16:C16"/>
    <mergeCell ref="D16:H16"/>
    <mergeCell ref="A17:C17"/>
    <mergeCell ref="D17:H17"/>
    <mergeCell ref="A18:C18"/>
    <mergeCell ref="D18:H18"/>
    <mergeCell ref="A19:C19"/>
    <mergeCell ref="D19:H19"/>
    <mergeCell ref="A20:C20"/>
    <mergeCell ref="D20:H20"/>
    <mergeCell ref="A23:H23"/>
    <mergeCell ref="A25:D25"/>
    <mergeCell ref="E25:H25"/>
  </mergeCells>
  <pageSetup paperSize="9" orientation="portrait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"/>
  <sheetViews>
    <sheetView workbookViewId="0" showGridLines="0"/>
  </sheetViews>
  <sheetFormatPr defaultRowHeight="15" outlineLevelRow="0" outlineLevelCol="0" x14ac:dyDescent="55"/>
  <cols>
    <col min="1" max="8" width="17" customWidth="1"/>
  </cols>
  <sheetData>
    <row r="1" ht="33" customHeight="1" spans="1:8" x14ac:dyDescent="0.25">
      <c r="A1" s="1" t="s">
        <v>97</v>
      </c>
      <c r="B1" s="1"/>
      <c r="C1" s="1"/>
      <c r="D1" s="1"/>
      <c r="E1" s="1"/>
      <c r="F1" s="1"/>
      <c r="G1" s="1"/>
      <c r="H1" s="1"/>
    </row>
    <row r="2" spans="1:8" x14ac:dyDescent="0.25">
      <c r="A2" t="s">
        <v>98</v>
      </c>
      <c r="B2"/>
      <c r="C2"/>
      <c r="D2"/>
      <c r="E2"/>
      <c r="F2"/>
      <c r="G2"/>
      <c r="H2"/>
    </row>
    <row r="4" ht="34" customHeight="1" spans="1:8" x14ac:dyDescent="0.25">
      <c r="A4" s="7" t="s">
        <v>91</v>
      </c>
      <c r="B4" s="7"/>
      <c r="C4" s="7"/>
      <c r="D4" s="8" t="str">
        <f>Ввод_работ!A15</f>
        <v>1.10</v>
      </c>
      <c r="E4" s="8"/>
      <c r="F4" s="8"/>
      <c r="G4" s="8"/>
      <c r="H4" s="8"/>
    </row>
    <row r="5" ht="34" customHeight="1" spans="1:8" x14ac:dyDescent="0.25">
      <c r="A5" s="7" t="s">
        <v>1</v>
      </c>
      <c r="B5" s="7"/>
      <c r="C5" s="7"/>
      <c r="D5" s="8" t="str">
        <f>Реквизиты!B3</f>
        <v>Учебный объект (вымышленно)</v>
      </c>
      <c r="E5" s="8"/>
      <c r="F5" s="8"/>
      <c r="G5" s="8"/>
      <c r="H5" s="8"/>
    </row>
    <row r="6" ht="34" customHeight="1" spans="1:8" x14ac:dyDescent="0.25">
      <c r="A6" s="7" t="s">
        <v>5</v>
      </c>
      <c r="B6" s="7"/>
      <c r="C6" s="7"/>
      <c r="D6" s="8" t="str">
        <f>Реквизиты!B5</f>
        <v>Учебная улица, дом 1, Примерный город</v>
      </c>
      <c r="E6" s="8"/>
      <c r="F6" s="8"/>
      <c r="G6" s="8"/>
      <c r="H6" s="8"/>
    </row>
    <row r="7" ht="34" customHeight="1" spans="1:8" x14ac:dyDescent="0.25">
      <c r="A7" s="7" t="s">
        <v>7</v>
      </c>
      <c r="B7" s="7"/>
      <c r="C7" s="7"/>
      <c r="D7" s="8" t="str">
        <f>Реквизиты!B6</f>
        <v>Учебный заказчик</v>
      </c>
      <c r="E7" s="8"/>
      <c r="F7" s="8"/>
      <c r="G7" s="8"/>
      <c r="H7" s="8"/>
    </row>
    <row r="8" ht="34" customHeight="1" spans="1:8" x14ac:dyDescent="0.25">
      <c r="A8" s="7" t="s">
        <v>9</v>
      </c>
      <c r="B8" s="7"/>
      <c r="C8" s="7"/>
      <c r="D8" s="8" t="str">
        <f>Реквизиты!B7</f>
        <v>ООО «Пример-Кровля» (вымышленно)</v>
      </c>
      <c r="E8" s="8"/>
      <c r="F8" s="8"/>
      <c r="G8" s="8"/>
      <c r="H8" s="8"/>
    </row>
    <row r="9" ht="34" customHeight="1" spans="1:8" x14ac:dyDescent="0.25">
      <c r="A9" s="7" t="s">
        <v>11</v>
      </c>
      <c r="B9" s="7"/>
      <c r="C9" s="7"/>
      <c r="D9" s="8" t="str">
        <f>Реквизиты!B8</f>
        <v>Проектное бюро «Образец» (вымышленно)</v>
      </c>
      <c r="E9" s="8"/>
      <c r="F9" s="8"/>
      <c r="G9" s="8"/>
      <c r="H9" s="8"/>
    </row>
    <row r="10" ht="34" customHeight="1" spans="1:8" x14ac:dyDescent="0.25">
      <c r="A10" s="7" t="s">
        <v>28</v>
      </c>
      <c r="B10" s="7"/>
      <c r="C10" s="7"/>
      <c r="D10" s="8" t="str">
        <f>Ввод_работ!E15</f>
        <v/>
      </c>
      <c r="E10" s="8"/>
      <c r="F10" s="8"/>
      <c r="G10" s="8"/>
      <c r="H10" s="8"/>
    </row>
    <row r="11" ht="62" customHeight="1" spans="1:8" x14ac:dyDescent="0.25">
      <c r="A11" s="7" t="s">
        <v>99</v>
      </c>
      <c r="B11" s="7"/>
      <c r="C11" s="7"/>
      <c r="D11" s="8" t="str">
        <f>Ввод_работ!B15</f>
        <v/>
      </c>
      <c r="E11" s="8"/>
      <c r="F11" s="8"/>
      <c r="G11" s="8"/>
      <c r="H11" s="8"/>
    </row>
    <row r="12" ht="34" customHeight="1" spans="1:8" x14ac:dyDescent="0.25">
      <c r="A12" s="7" t="s">
        <v>100</v>
      </c>
      <c r="B12" s="7"/>
      <c r="C12" s="7"/>
      <c r="D12" s="8" t="str">
        <f>Ввод_работ!C15</f>
        <v/>
      </c>
      <c r="E12" s="8"/>
      <c r="F12" s="8"/>
      <c r="G12" s="8"/>
      <c r="H12" s="8"/>
    </row>
    <row r="13" ht="34" customHeight="1" spans="1:8" x14ac:dyDescent="0.25">
      <c r="A13" s="7" t="s">
        <v>101</v>
      </c>
      <c r="B13" s="7"/>
      <c r="C13" s="7"/>
      <c r="D13" s="8" t="str">
        <f>Ввод_работ!D15</f>
        <v/>
      </c>
      <c r="E13" s="8"/>
      <c r="F13" s="8"/>
      <c r="G13" s="8"/>
      <c r="H13" s="8"/>
    </row>
    <row r="14" ht="34" customHeight="1" spans="1:8" x14ac:dyDescent="0.25">
      <c r="A14" s="7" t="s">
        <v>102</v>
      </c>
      <c r="B14" s="7"/>
      <c r="C14" s="7"/>
      <c r="D14" s="8" t="str">
        <f>Ввод_работ!F15</f>
        <v/>
      </c>
      <c r="E14" s="8"/>
      <c r="F14" s="8"/>
      <c r="G14" s="8"/>
      <c r="H14" s="8"/>
    </row>
    <row r="15" ht="34" customHeight="1" spans="1:8" x14ac:dyDescent="0.25">
      <c r="A15" s="7" t="s">
        <v>103</v>
      </c>
      <c r="B15" s="7"/>
      <c r="C15" s="7"/>
      <c r="D15" s="8" t="str">
        <f>Ввод_работ!G15</f>
        <v/>
      </c>
      <c r="E15" s="8"/>
      <c r="F15" s="8"/>
      <c r="G15" s="8"/>
      <c r="H15" s="8"/>
    </row>
    <row r="16" ht="82" customHeight="1" spans="1:8" x14ac:dyDescent="0.25">
      <c r="A16" s="7" t="s">
        <v>31</v>
      </c>
      <c r="B16" s="7"/>
      <c r="C16" s="7"/>
      <c r="D16" s="8" t="str">
        <f>Ввод_работ!H15</f>
        <v/>
      </c>
      <c r="E16" s="8"/>
      <c r="F16" s="8"/>
      <c r="G16" s="8"/>
      <c r="H16" s="8"/>
    </row>
    <row r="17" ht="34" customHeight="1" spans="1:8" x14ac:dyDescent="0.25">
      <c r="A17" s="7" t="s">
        <v>104</v>
      </c>
      <c r="B17" s="7"/>
      <c r="C17" s="7"/>
      <c r="D17" s="8" t="str">
        <f>Ввод_работ!I15</f>
        <v/>
      </c>
      <c r="E17" s="8"/>
      <c r="F17" s="8"/>
      <c r="G17" s="8"/>
      <c r="H17" s="8"/>
    </row>
    <row r="18" ht="34" customHeight="1" spans="1:8" x14ac:dyDescent="0.25">
      <c r="A18" s="7" t="s">
        <v>105</v>
      </c>
      <c r="B18" s="7"/>
      <c r="C18" s="7"/>
      <c r="D18" s="8" t="str">
        <f>Ввод_работ!J15</f>
        <v/>
      </c>
      <c r="E18" s="8"/>
      <c r="F18" s="8"/>
      <c r="G18" s="8"/>
      <c r="H18" s="8"/>
    </row>
    <row r="19" ht="34" customHeight="1" spans="1:8" x14ac:dyDescent="0.25">
      <c r="A19" s="7" t="s">
        <v>106</v>
      </c>
      <c r="B19" s="7"/>
      <c r="C19" s="7"/>
      <c r="D19" s="8" t="str">
        <f>Ввод_работ!K15</f>
        <v/>
      </c>
      <c r="E19" s="8"/>
      <c r="F19" s="8"/>
      <c r="G19" s="8"/>
      <c r="H19" s="8"/>
    </row>
    <row r="20" ht="34" customHeight="1" spans="1:8" x14ac:dyDescent="0.25">
      <c r="A20" s="7" t="s">
        <v>107</v>
      </c>
      <c r="B20" s="7"/>
      <c r="C20" s="7"/>
      <c r="D20" s="8" t="str">
        <f>Ввод_работ!L15</f>
        <v/>
      </c>
      <c r="E20" s="8"/>
      <c r="F20" s="8"/>
      <c r="G20" s="8"/>
      <c r="H20" s="8"/>
    </row>
    <row r="23" spans="1:8" x14ac:dyDescent="0.25">
      <c r="A23" t="s">
        <v>108</v>
      </c>
      <c r="B23"/>
      <c r="C23"/>
      <c r="D23"/>
      <c r="E23"/>
      <c r="F23"/>
      <c r="G23"/>
      <c r="H23"/>
    </row>
    <row r="25" spans="1:8" x14ac:dyDescent="0.25">
      <c r="A25" t="s">
        <v>109</v>
      </c>
      <c r="B25"/>
      <c r="C25"/>
      <c r="D25"/>
      <c r="E25" t="s">
        <v>110</v>
      </c>
      <c r="F25"/>
      <c r="G25"/>
      <c r="H25"/>
    </row>
  </sheetData>
  <mergeCells count="39">
    <mergeCell ref="A1:H1"/>
    <mergeCell ref="A2:H2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A10:C10"/>
    <mergeCell ref="D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C15"/>
    <mergeCell ref="D15:H15"/>
    <mergeCell ref="A16:C16"/>
    <mergeCell ref="D16:H16"/>
    <mergeCell ref="A17:C17"/>
    <mergeCell ref="D17:H17"/>
    <mergeCell ref="A18:C18"/>
    <mergeCell ref="D18:H18"/>
    <mergeCell ref="A19:C19"/>
    <mergeCell ref="D19:H19"/>
    <mergeCell ref="A20:C20"/>
    <mergeCell ref="D20:H20"/>
    <mergeCell ref="A23:H23"/>
    <mergeCell ref="A25:D25"/>
    <mergeCell ref="E25:H25"/>
  </mergeCells>
  <pageSetup paperSize="9" orientation="portrait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"/>
  <sheetViews>
    <sheetView workbookViewId="0" showGridLines="0"/>
  </sheetViews>
  <sheetFormatPr defaultRowHeight="15" outlineLevelRow="0" outlineLevelCol="0" x14ac:dyDescent="55"/>
  <cols>
    <col min="1" max="8" width="17" customWidth="1"/>
  </cols>
  <sheetData>
    <row r="1" ht="33" customHeight="1" spans="1:8" x14ac:dyDescent="0.25">
      <c r="A1" s="1" t="s">
        <v>97</v>
      </c>
      <c r="B1" s="1"/>
      <c r="C1" s="1"/>
      <c r="D1" s="1"/>
      <c r="E1" s="1"/>
      <c r="F1" s="1"/>
      <c r="G1" s="1"/>
      <c r="H1" s="1"/>
    </row>
    <row r="2" spans="1:8" x14ac:dyDescent="0.25">
      <c r="A2" t="s">
        <v>98</v>
      </c>
      <c r="B2"/>
      <c r="C2"/>
      <c r="D2"/>
      <c r="E2"/>
      <c r="F2"/>
      <c r="G2"/>
      <c r="H2"/>
    </row>
    <row r="4" ht="34" customHeight="1" spans="1:8" x14ac:dyDescent="0.25">
      <c r="A4" s="7" t="s">
        <v>91</v>
      </c>
      <c r="B4" s="7"/>
      <c r="C4" s="7"/>
      <c r="D4" s="8" t="str">
        <f>Ввод_работ!A16</f>
        <v>1.11</v>
      </c>
      <c r="E4" s="8"/>
      <c r="F4" s="8"/>
      <c r="G4" s="8"/>
      <c r="H4" s="8"/>
    </row>
    <row r="5" ht="34" customHeight="1" spans="1:8" x14ac:dyDescent="0.25">
      <c r="A5" s="7" t="s">
        <v>1</v>
      </c>
      <c r="B5" s="7"/>
      <c r="C5" s="7"/>
      <c r="D5" s="8" t="str">
        <f>Реквизиты!B3</f>
        <v>Учебный объект (вымышленно)</v>
      </c>
      <c r="E5" s="8"/>
      <c r="F5" s="8"/>
      <c r="G5" s="8"/>
      <c r="H5" s="8"/>
    </row>
    <row r="6" ht="34" customHeight="1" spans="1:8" x14ac:dyDescent="0.25">
      <c r="A6" s="7" t="s">
        <v>5</v>
      </c>
      <c r="B6" s="7"/>
      <c r="C6" s="7"/>
      <c r="D6" s="8" t="str">
        <f>Реквизиты!B5</f>
        <v>Учебная улица, дом 1, Примерный город</v>
      </c>
      <c r="E6" s="8"/>
      <c r="F6" s="8"/>
      <c r="G6" s="8"/>
      <c r="H6" s="8"/>
    </row>
    <row r="7" ht="34" customHeight="1" spans="1:8" x14ac:dyDescent="0.25">
      <c r="A7" s="7" t="s">
        <v>7</v>
      </c>
      <c r="B7" s="7"/>
      <c r="C7" s="7"/>
      <c r="D7" s="8" t="str">
        <f>Реквизиты!B6</f>
        <v>Учебный заказчик</v>
      </c>
      <c r="E7" s="8"/>
      <c r="F7" s="8"/>
      <c r="G7" s="8"/>
      <c r="H7" s="8"/>
    </row>
    <row r="8" ht="34" customHeight="1" spans="1:8" x14ac:dyDescent="0.25">
      <c r="A8" s="7" t="s">
        <v>9</v>
      </c>
      <c r="B8" s="7"/>
      <c r="C8" s="7"/>
      <c r="D8" s="8" t="str">
        <f>Реквизиты!B7</f>
        <v>ООО «Пример-Кровля» (вымышленно)</v>
      </c>
      <c r="E8" s="8"/>
      <c r="F8" s="8"/>
      <c r="G8" s="8"/>
      <c r="H8" s="8"/>
    </row>
    <row r="9" ht="34" customHeight="1" spans="1:8" x14ac:dyDescent="0.25">
      <c r="A9" s="7" t="s">
        <v>11</v>
      </c>
      <c r="B9" s="7"/>
      <c r="C9" s="7"/>
      <c r="D9" s="8" t="str">
        <f>Реквизиты!B8</f>
        <v>Проектное бюро «Образец» (вымышленно)</v>
      </c>
      <c r="E9" s="8"/>
      <c r="F9" s="8"/>
      <c r="G9" s="8"/>
      <c r="H9" s="8"/>
    </row>
    <row r="10" ht="34" customHeight="1" spans="1:8" x14ac:dyDescent="0.25">
      <c r="A10" s="7" t="s">
        <v>28</v>
      </c>
      <c r="B10" s="7"/>
      <c r="C10" s="7"/>
      <c r="D10" s="8" t="str">
        <f>Ввод_работ!E16</f>
        <v/>
      </c>
      <c r="E10" s="8"/>
      <c r="F10" s="8"/>
      <c r="G10" s="8"/>
      <c r="H10" s="8"/>
    </row>
    <row r="11" ht="62" customHeight="1" spans="1:8" x14ac:dyDescent="0.25">
      <c r="A11" s="7" t="s">
        <v>99</v>
      </c>
      <c r="B11" s="7"/>
      <c r="C11" s="7"/>
      <c r="D11" s="8" t="str">
        <f>Ввод_работ!B16</f>
        <v/>
      </c>
      <c r="E11" s="8"/>
      <c r="F11" s="8"/>
      <c r="G11" s="8"/>
      <c r="H11" s="8"/>
    </row>
    <row r="12" ht="34" customHeight="1" spans="1:8" x14ac:dyDescent="0.25">
      <c r="A12" s="7" t="s">
        <v>100</v>
      </c>
      <c r="B12" s="7"/>
      <c r="C12" s="7"/>
      <c r="D12" s="8" t="str">
        <f>Ввод_работ!C16</f>
        <v/>
      </c>
      <c r="E12" s="8"/>
      <c r="F12" s="8"/>
      <c r="G12" s="8"/>
      <c r="H12" s="8"/>
    </row>
    <row r="13" ht="34" customHeight="1" spans="1:8" x14ac:dyDescent="0.25">
      <c r="A13" s="7" t="s">
        <v>101</v>
      </c>
      <c r="B13" s="7"/>
      <c r="C13" s="7"/>
      <c r="D13" s="8" t="str">
        <f>Ввод_работ!D16</f>
        <v/>
      </c>
      <c r="E13" s="8"/>
      <c r="F13" s="8"/>
      <c r="G13" s="8"/>
      <c r="H13" s="8"/>
    </row>
    <row r="14" ht="34" customHeight="1" spans="1:8" x14ac:dyDescent="0.25">
      <c r="A14" s="7" t="s">
        <v>102</v>
      </c>
      <c r="B14" s="7"/>
      <c r="C14" s="7"/>
      <c r="D14" s="8" t="str">
        <f>Ввод_работ!F16</f>
        <v/>
      </c>
      <c r="E14" s="8"/>
      <c r="F14" s="8"/>
      <c r="G14" s="8"/>
      <c r="H14" s="8"/>
    </row>
    <row r="15" ht="34" customHeight="1" spans="1:8" x14ac:dyDescent="0.25">
      <c r="A15" s="7" t="s">
        <v>103</v>
      </c>
      <c r="B15" s="7"/>
      <c r="C15" s="7"/>
      <c r="D15" s="8" t="str">
        <f>Ввод_работ!G16</f>
        <v/>
      </c>
      <c r="E15" s="8"/>
      <c r="F15" s="8"/>
      <c r="G15" s="8"/>
      <c r="H15" s="8"/>
    </row>
    <row r="16" ht="82" customHeight="1" spans="1:8" x14ac:dyDescent="0.25">
      <c r="A16" s="7" t="s">
        <v>31</v>
      </c>
      <c r="B16" s="7"/>
      <c r="C16" s="7"/>
      <c r="D16" s="8" t="str">
        <f>Ввод_работ!H16</f>
        <v/>
      </c>
      <c r="E16" s="8"/>
      <c r="F16" s="8"/>
      <c r="G16" s="8"/>
      <c r="H16" s="8"/>
    </row>
    <row r="17" ht="34" customHeight="1" spans="1:8" x14ac:dyDescent="0.25">
      <c r="A17" s="7" t="s">
        <v>104</v>
      </c>
      <c r="B17" s="7"/>
      <c r="C17" s="7"/>
      <c r="D17" s="8" t="str">
        <f>Ввод_работ!I16</f>
        <v/>
      </c>
      <c r="E17" s="8"/>
      <c r="F17" s="8"/>
      <c r="G17" s="8"/>
      <c r="H17" s="8"/>
    </row>
    <row r="18" ht="34" customHeight="1" spans="1:8" x14ac:dyDescent="0.25">
      <c r="A18" s="7" t="s">
        <v>105</v>
      </c>
      <c r="B18" s="7"/>
      <c r="C18" s="7"/>
      <c r="D18" s="8" t="str">
        <f>Ввод_работ!J16</f>
        <v/>
      </c>
      <c r="E18" s="8"/>
      <c r="F18" s="8"/>
      <c r="G18" s="8"/>
      <c r="H18" s="8"/>
    </row>
    <row r="19" ht="34" customHeight="1" spans="1:8" x14ac:dyDescent="0.25">
      <c r="A19" s="7" t="s">
        <v>106</v>
      </c>
      <c r="B19" s="7"/>
      <c r="C19" s="7"/>
      <c r="D19" s="8" t="str">
        <f>Ввод_работ!K16</f>
        <v/>
      </c>
      <c r="E19" s="8"/>
      <c r="F19" s="8"/>
      <c r="G19" s="8"/>
      <c r="H19" s="8"/>
    </row>
    <row r="20" ht="34" customHeight="1" spans="1:8" x14ac:dyDescent="0.25">
      <c r="A20" s="7" t="s">
        <v>107</v>
      </c>
      <c r="B20" s="7"/>
      <c r="C20" s="7"/>
      <c r="D20" s="8" t="str">
        <f>Ввод_работ!L16</f>
        <v/>
      </c>
      <c r="E20" s="8"/>
      <c r="F20" s="8"/>
      <c r="G20" s="8"/>
      <c r="H20" s="8"/>
    </row>
    <row r="23" spans="1:8" x14ac:dyDescent="0.25">
      <c r="A23" t="s">
        <v>108</v>
      </c>
      <c r="B23"/>
      <c r="C23"/>
      <c r="D23"/>
      <c r="E23"/>
      <c r="F23"/>
      <c r="G23"/>
      <c r="H23"/>
    </row>
    <row r="25" spans="1:8" x14ac:dyDescent="0.25">
      <c r="A25" t="s">
        <v>109</v>
      </c>
      <c r="B25"/>
      <c r="C25"/>
      <c r="D25"/>
      <c r="E25" t="s">
        <v>110</v>
      </c>
      <c r="F25"/>
      <c r="G25"/>
      <c r="H25"/>
    </row>
  </sheetData>
  <mergeCells count="39">
    <mergeCell ref="A1:H1"/>
    <mergeCell ref="A2:H2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A10:C10"/>
    <mergeCell ref="D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C15"/>
    <mergeCell ref="D15:H15"/>
    <mergeCell ref="A16:C16"/>
    <mergeCell ref="D16:H16"/>
    <mergeCell ref="A17:C17"/>
    <mergeCell ref="D17:H17"/>
    <mergeCell ref="A18:C18"/>
    <mergeCell ref="D18:H18"/>
    <mergeCell ref="A19:C19"/>
    <mergeCell ref="D19:H19"/>
    <mergeCell ref="A20:C20"/>
    <mergeCell ref="D20:H20"/>
    <mergeCell ref="A23:H23"/>
    <mergeCell ref="A25:D25"/>
    <mergeCell ref="E25:H25"/>
  </mergeCells>
  <pageSetup paperSize="9" orientation="portrait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"/>
  <sheetViews>
    <sheetView workbookViewId="0" showGridLines="0"/>
  </sheetViews>
  <sheetFormatPr defaultRowHeight="15" outlineLevelRow="0" outlineLevelCol="0" x14ac:dyDescent="55"/>
  <cols>
    <col min="1" max="8" width="17" customWidth="1"/>
  </cols>
  <sheetData>
    <row r="1" ht="33" customHeight="1" spans="1:8" x14ac:dyDescent="0.25">
      <c r="A1" s="1" t="s">
        <v>97</v>
      </c>
      <c r="B1" s="1"/>
      <c r="C1" s="1"/>
      <c r="D1" s="1"/>
      <c r="E1" s="1"/>
      <c r="F1" s="1"/>
      <c r="G1" s="1"/>
      <c r="H1" s="1"/>
    </row>
    <row r="2" spans="1:8" x14ac:dyDescent="0.25">
      <c r="A2" t="s">
        <v>98</v>
      </c>
      <c r="B2"/>
      <c r="C2"/>
      <c r="D2"/>
      <c r="E2"/>
      <c r="F2"/>
      <c r="G2"/>
      <c r="H2"/>
    </row>
    <row r="4" ht="34" customHeight="1" spans="1:8" x14ac:dyDescent="0.25">
      <c r="A4" s="7" t="s">
        <v>91</v>
      </c>
      <c r="B4" s="7"/>
      <c r="C4" s="7"/>
      <c r="D4" s="8" t="str">
        <f>Ввод_работ!A17</f>
        <v>1.12</v>
      </c>
      <c r="E4" s="8"/>
      <c r="F4" s="8"/>
      <c r="G4" s="8"/>
      <c r="H4" s="8"/>
    </row>
    <row r="5" ht="34" customHeight="1" spans="1:8" x14ac:dyDescent="0.25">
      <c r="A5" s="7" t="s">
        <v>1</v>
      </c>
      <c r="B5" s="7"/>
      <c r="C5" s="7"/>
      <c r="D5" s="8" t="str">
        <f>Реквизиты!B3</f>
        <v>Учебный объект (вымышленно)</v>
      </c>
      <c r="E5" s="8"/>
      <c r="F5" s="8"/>
      <c r="G5" s="8"/>
      <c r="H5" s="8"/>
    </row>
    <row r="6" ht="34" customHeight="1" spans="1:8" x14ac:dyDescent="0.25">
      <c r="A6" s="7" t="s">
        <v>5</v>
      </c>
      <c r="B6" s="7"/>
      <c r="C6" s="7"/>
      <c r="D6" s="8" t="str">
        <f>Реквизиты!B5</f>
        <v>Учебная улица, дом 1, Примерный город</v>
      </c>
      <c r="E6" s="8"/>
      <c r="F6" s="8"/>
      <c r="G6" s="8"/>
      <c r="H6" s="8"/>
    </row>
    <row r="7" ht="34" customHeight="1" spans="1:8" x14ac:dyDescent="0.25">
      <c r="A7" s="7" t="s">
        <v>7</v>
      </c>
      <c r="B7" s="7"/>
      <c r="C7" s="7"/>
      <c r="D7" s="8" t="str">
        <f>Реквизиты!B6</f>
        <v>Учебный заказчик</v>
      </c>
      <c r="E7" s="8"/>
      <c r="F7" s="8"/>
      <c r="G7" s="8"/>
      <c r="H7" s="8"/>
    </row>
    <row r="8" ht="34" customHeight="1" spans="1:8" x14ac:dyDescent="0.25">
      <c r="A8" s="7" t="s">
        <v>9</v>
      </c>
      <c r="B8" s="7"/>
      <c r="C8" s="7"/>
      <c r="D8" s="8" t="str">
        <f>Реквизиты!B7</f>
        <v>ООО «Пример-Кровля» (вымышленно)</v>
      </c>
      <c r="E8" s="8"/>
      <c r="F8" s="8"/>
      <c r="G8" s="8"/>
      <c r="H8" s="8"/>
    </row>
    <row r="9" ht="34" customHeight="1" spans="1:8" x14ac:dyDescent="0.25">
      <c r="A9" s="7" t="s">
        <v>11</v>
      </c>
      <c r="B9" s="7"/>
      <c r="C9" s="7"/>
      <c r="D9" s="8" t="str">
        <f>Реквизиты!B8</f>
        <v>Проектное бюро «Образец» (вымышленно)</v>
      </c>
      <c r="E9" s="8"/>
      <c r="F9" s="8"/>
      <c r="G9" s="8"/>
      <c r="H9" s="8"/>
    </row>
    <row r="10" ht="34" customHeight="1" spans="1:8" x14ac:dyDescent="0.25">
      <c r="A10" s="7" t="s">
        <v>28</v>
      </c>
      <c r="B10" s="7"/>
      <c r="C10" s="7"/>
      <c r="D10" s="8" t="str">
        <f>Ввод_работ!E17</f>
        <v/>
      </c>
      <c r="E10" s="8"/>
      <c r="F10" s="8"/>
      <c r="G10" s="8"/>
      <c r="H10" s="8"/>
    </row>
    <row r="11" ht="62" customHeight="1" spans="1:8" x14ac:dyDescent="0.25">
      <c r="A11" s="7" t="s">
        <v>99</v>
      </c>
      <c r="B11" s="7"/>
      <c r="C11" s="7"/>
      <c r="D11" s="8" t="str">
        <f>Ввод_работ!B17</f>
        <v/>
      </c>
      <c r="E11" s="8"/>
      <c r="F11" s="8"/>
      <c r="G11" s="8"/>
      <c r="H11" s="8"/>
    </row>
    <row r="12" ht="34" customHeight="1" spans="1:8" x14ac:dyDescent="0.25">
      <c r="A12" s="7" t="s">
        <v>100</v>
      </c>
      <c r="B12" s="7"/>
      <c r="C12" s="7"/>
      <c r="D12" s="8" t="str">
        <f>Ввод_работ!C17</f>
        <v/>
      </c>
      <c r="E12" s="8"/>
      <c r="F12" s="8"/>
      <c r="G12" s="8"/>
      <c r="H12" s="8"/>
    </row>
    <row r="13" ht="34" customHeight="1" spans="1:8" x14ac:dyDescent="0.25">
      <c r="A13" s="7" t="s">
        <v>101</v>
      </c>
      <c r="B13" s="7"/>
      <c r="C13" s="7"/>
      <c r="D13" s="8" t="str">
        <f>Ввод_работ!D17</f>
        <v/>
      </c>
      <c r="E13" s="8"/>
      <c r="F13" s="8"/>
      <c r="G13" s="8"/>
      <c r="H13" s="8"/>
    </row>
    <row r="14" ht="34" customHeight="1" spans="1:8" x14ac:dyDescent="0.25">
      <c r="A14" s="7" t="s">
        <v>102</v>
      </c>
      <c r="B14" s="7"/>
      <c r="C14" s="7"/>
      <c r="D14" s="8" t="str">
        <f>Ввод_работ!F17</f>
        <v/>
      </c>
      <c r="E14" s="8"/>
      <c r="F14" s="8"/>
      <c r="G14" s="8"/>
      <c r="H14" s="8"/>
    </row>
    <row r="15" ht="34" customHeight="1" spans="1:8" x14ac:dyDescent="0.25">
      <c r="A15" s="7" t="s">
        <v>103</v>
      </c>
      <c r="B15" s="7"/>
      <c r="C15" s="7"/>
      <c r="D15" s="8" t="str">
        <f>Ввод_работ!G17</f>
        <v/>
      </c>
      <c r="E15" s="8"/>
      <c r="F15" s="8"/>
      <c r="G15" s="8"/>
      <c r="H15" s="8"/>
    </row>
    <row r="16" ht="82" customHeight="1" spans="1:8" x14ac:dyDescent="0.25">
      <c r="A16" s="7" t="s">
        <v>31</v>
      </c>
      <c r="B16" s="7"/>
      <c r="C16" s="7"/>
      <c r="D16" s="8" t="str">
        <f>Ввод_работ!H17</f>
        <v/>
      </c>
      <c r="E16" s="8"/>
      <c r="F16" s="8"/>
      <c r="G16" s="8"/>
      <c r="H16" s="8"/>
    </row>
    <row r="17" ht="34" customHeight="1" spans="1:8" x14ac:dyDescent="0.25">
      <c r="A17" s="7" t="s">
        <v>104</v>
      </c>
      <c r="B17" s="7"/>
      <c r="C17" s="7"/>
      <c r="D17" s="8" t="str">
        <f>Ввод_работ!I17</f>
        <v/>
      </c>
      <c r="E17" s="8"/>
      <c r="F17" s="8"/>
      <c r="G17" s="8"/>
      <c r="H17" s="8"/>
    </row>
    <row r="18" ht="34" customHeight="1" spans="1:8" x14ac:dyDescent="0.25">
      <c r="A18" s="7" t="s">
        <v>105</v>
      </c>
      <c r="B18" s="7"/>
      <c r="C18" s="7"/>
      <c r="D18" s="8" t="str">
        <f>Ввод_работ!J17</f>
        <v/>
      </c>
      <c r="E18" s="8"/>
      <c r="F18" s="8"/>
      <c r="G18" s="8"/>
      <c r="H18" s="8"/>
    </row>
    <row r="19" ht="34" customHeight="1" spans="1:8" x14ac:dyDescent="0.25">
      <c r="A19" s="7" t="s">
        <v>106</v>
      </c>
      <c r="B19" s="7"/>
      <c r="C19" s="7"/>
      <c r="D19" s="8" t="str">
        <f>Ввод_работ!K17</f>
        <v/>
      </c>
      <c r="E19" s="8"/>
      <c r="F19" s="8"/>
      <c r="G19" s="8"/>
      <c r="H19" s="8"/>
    </row>
    <row r="20" ht="34" customHeight="1" spans="1:8" x14ac:dyDescent="0.25">
      <c r="A20" s="7" t="s">
        <v>107</v>
      </c>
      <c r="B20" s="7"/>
      <c r="C20" s="7"/>
      <c r="D20" s="8" t="str">
        <f>Ввод_работ!L17</f>
        <v/>
      </c>
      <c r="E20" s="8"/>
      <c r="F20" s="8"/>
      <c r="G20" s="8"/>
      <c r="H20" s="8"/>
    </row>
    <row r="23" spans="1:8" x14ac:dyDescent="0.25">
      <c r="A23" t="s">
        <v>108</v>
      </c>
      <c r="B23"/>
      <c r="C23"/>
      <c r="D23"/>
      <c r="E23"/>
      <c r="F23"/>
      <c r="G23"/>
      <c r="H23"/>
    </row>
    <row r="25" spans="1:8" x14ac:dyDescent="0.25">
      <c r="A25" t="s">
        <v>109</v>
      </c>
      <c r="B25"/>
      <c r="C25"/>
      <c r="D25"/>
      <c r="E25" t="s">
        <v>110</v>
      </c>
      <c r="F25"/>
      <c r="G25"/>
      <c r="H25"/>
    </row>
  </sheetData>
  <mergeCells count="39">
    <mergeCell ref="A1:H1"/>
    <mergeCell ref="A2:H2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A10:C10"/>
    <mergeCell ref="D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C15"/>
    <mergeCell ref="D15:H15"/>
    <mergeCell ref="A16:C16"/>
    <mergeCell ref="D16:H16"/>
    <mergeCell ref="A17:C17"/>
    <mergeCell ref="D17:H17"/>
    <mergeCell ref="A18:C18"/>
    <mergeCell ref="D18:H18"/>
    <mergeCell ref="A19:C19"/>
    <mergeCell ref="D19:H19"/>
    <mergeCell ref="A20:C20"/>
    <mergeCell ref="D20:H20"/>
    <mergeCell ref="A23:H23"/>
    <mergeCell ref="A25:D25"/>
    <mergeCell ref="E25:H25"/>
  </mergeCells>
  <pageSetup paperSize="9" orientation="portrait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"/>
  <sheetViews>
    <sheetView workbookViewId="0" showGridLines="0"/>
  </sheetViews>
  <sheetFormatPr defaultRowHeight="15" outlineLevelRow="0" outlineLevelCol="0" x14ac:dyDescent="55"/>
  <cols>
    <col min="1" max="8" width="17" customWidth="1"/>
  </cols>
  <sheetData>
    <row r="1" ht="33" customHeight="1" spans="1:8" x14ac:dyDescent="0.25">
      <c r="A1" s="1" t="s">
        <v>97</v>
      </c>
      <c r="B1" s="1"/>
      <c r="C1" s="1"/>
      <c r="D1" s="1"/>
      <c r="E1" s="1"/>
      <c r="F1" s="1"/>
      <c r="G1" s="1"/>
      <c r="H1" s="1"/>
    </row>
    <row r="2" spans="1:8" x14ac:dyDescent="0.25">
      <c r="A2" t="s">
        <v>98</v>
      </c>
      <c r="B2"/>
      <c r="C2"/>
      <c r="D2"/>
      <c r="E2"/>
      <c r="F2"/>
      <c r="G2"/>
      <c r="H2"/>
    </row>
    <row r="4" ht="34" customHeight="1" spans="1:8" x14ac:dyDescent="0.25">
      <c r="A4" s="7" t="s">
        <v>91</v>
      </c>
      <c r="B4" s="7"/>
      <c r="C4" s="7"/>
      <c r="D4" s="8" t="str">
        <f>Ввод_работ!A18</f>
        <v>1.13</v>
      </c>
      <c r="E4" s="8"/>
      <c r="F4" s="8"/>
      <c r="G4" s="8"/>
      <c r="H4" s="8"/>
    </row>
    <row r="5" ht="34" customHeight="1" spans="1:8" x14ac:dyDescent="0.25">
      <c r="A5" s="7" t="s">
        <v>1</v>
      </c>
      <c r="B5" s="7"/>
      <c r="C5" s="7"/>
      <c r="D5" s="8" t="str">
        <f>Реквизиты!B3</f>
        <v>Учебный объект (вымышленно)</v>
      </c>
      <c r="E5" s="8"/>
      <c r="F5" s="8"/>
      <c r="G5" s="8"/>
      <c r="H5" s="8"/>
    </row>
    <row r="6" ht="34" customHeight="1" spans="1:8" x14ac:dyDescent="0.25">
      <c r="A6" s="7" t="s">
        <v>5</v>
      </c>
      <c r="B6" s="7"/>
      <c r="C6" s="7"/>
      <c r="D6" s="8" t="str">
        <f>Реквизиты!B5</f>
        <v>Учебная улица, дом 1, Примерный город</v>
      </c>
      <c r="E6" s="8"/>
      <c r="F6" s="8"/>
      <c r="G6" s="8"/>
      <c r="H6" s="8"/>
    </row>
    <row r="7" ht="34" customHeight="1" spans="1:8" x14ac:dyDescent="0.25">
      <c r="A7" s="7" t="s">
        <v>7</v>
      </c>
      <c r="B7" s="7"/>
      <c r="C7" s="7"/>
      <c r="D7" s="8" t="str">
        <f>Реквизиты!B6</f>
        <v>Учебный заказчик</v>
      </c>
      <c r="E7" s="8"/>
      <c r="F7" s="8"/>
      <c r="G7" s="8"/>
      <c r="H7" s="8"/>
    </row>
    <row r="8" ht="34" customHeight="1" spans="1:8" x14ac:dyDescent="0.25">
      <c r="A8" s="7" t="s">
        <v>9</v>
      </c>
      <c r="B8" s="7"/>
      <c r="C8" s="7"/>
      <c r="D8" s="8" t="str">
        <f>Реквизиты!B7</f>
        <v>ООО «Пример-Кровля» (вымышленно)</v>
      </c>
      <c r="E8" s="8"/>
      <c r="F8" s="8"/>
      <c r="G8" s="8"/>
      <c r="H8" s="8"/>
    </row>
    <row r="9" ht="34" customHeight="1" spans="1:8" x14ac:dyDescent="0.25">
      <c r="A9" s="7" t="s">
        <v>11</v>
      </c>
      <c r="B9" s="7"/>
      <c r="C9" s="7"/>
      <c r="D9" s="8" t="str">
        <f>Реквизиты!B8</f>
        <v>Проектное бюро «Образец» (вымышленно)</v>
      </c>
      <c r="E9" s="8"/>
      <c r="F9" s="8"/>
      <c r="G9" s="8"/>
      <c r="H9" s="8"/>
    </row>
    <row r="10" ht="34" customHeight="1" spans="1:8" x14ac:dyDescent="0.25">
      <c r="A10" s="7" t="s">
        <v>28</v>
      </c>
      <c r="B10" s="7"/>
      <c r="C10" s="7"/>
      <c r="D10" s="8" t="str">
        <f>Ввод_работ!E18</f>
        <v/>
      </c>
      <c r="E10" s="8"/>
      <c r="F10" s="8"/>
      <c r="G10" s="8"/>
      <c r="H10" s="8"/>
    </row>
    <row r="11" ht="62" customHeight="1" spans="1:8" x14ac:dyDescent="0.25">
      <c r="A11" s="7" t="s">
        <v>99</v>
      </c>
      <c r="B11" s="7"/>
      <c r="C11" s="7"/>
      <c r="D11" s="8" t="str">
        <f>Ввод_работ!B18</f>
        <v/>
      </c>
      <c r="E11" s="8"/>
      <c r="F11" s="8"/>
      <c r="G11" s="8"/>
      <c r="H11" s="8"/>
    </row>
    <row r="12" ht="34" customHeight="1" spans="1:8" x14ac:dyDescent="0.25">
      <c r="A12" s="7" t="s">
        <v>100</v>
      </c>
      <c r="B12" s="7"/>
      <c r="C12" s="7"/>
      <c r="D12" s="8" t="str">
        <f>Ввод_работ!C18</f>
        <v/>
      </c>
      <c r="E12" s="8"/>
      <c r="F12" s="8"/>
      <c r="G12" s="8"/>
      <c r="H12" s="8"/>
    </row>
    <row r="13" ht="34" customHeight="1" spans="1:8" x14ac:dyDescent="0.25">
      <c r="A13" s="7" t="s">
        <v>101</v>
      </c>
      <c r="B13" s="7"/>
      <c r="C13" s="7"/>
      <c r="D13" s="8" t="str">
        <f>Ввод_работ!D18</f>
        <v/>
      </c>
      <c r="E13" s="8"/>
      <c r="F13" s="8"/>
      <c r="G13" s="8"/>
      <c r="H13" s="8"/>
    </row>
    <row r="14" ht="34" customHeight="1" spans="1:8" x14ac:dyDescent="0.25">
      <c r="A14" s="7" t="s">
        <v>102</v>
      </c>
      <c r="B14" s="7"/>
      <c r="C14" s="7"/>
      <c r="D14" s="8" t="str">
        <f>Ввод_работ!F18</f>
        <v/>
      </c>
      <c r="E14" s="8"/>
      <c r="F14" s="8"/>
      <c r="G14" s="8"/>
      <c r="H14" s="8"/>
    </row>
    <row r="15" ht="34" customHeight="1" spans="1:8" x14ac:dyDescent="0.25">
      <c r="A15" s="7" t="s">
        <v>103</v>
      </c>
      <c r="B15" s="7"/>
      <c r="C15" s="7"/>
      <c r="D15" s="8" t="str">
        <f>Ввод_работ!G18</f>
        <v/>
      </c>
      <c r="E15" s="8"/>
      <c r="F15" s="8"/>
      <c r="G15" s="8"/>
      <c r="H15" s="8"/>
    </row>
    <row r="16" ht="82" customHeight="1" spans="1:8" x14ac:dyDescent="0.25">
      <c r="A16" s="7" t="s">
        <v>31</v>
      </c>
      <c r="B16" s="7"/>
      <c r="C16" s="7"/>
      <c r="D16" s="8" t="str">
        <f>Ввод_работ!H18</f>
        <v/>
      </c>
      <c r="E16" s="8"/>
      <c r="F16" s="8"/>
      <c r="G16" s="8"/>
      <c r="H16" s="8"/>
    </row>
    <row r="17" ht="34" customHeight="1" spans="1:8" x14ac:dyDescent="0.25">
      <c r="A17" s="7" t="s">
        <v>104</v>
      </c>
      <c r="B17" s="7"/>
      <c r="C17" s="7"/>
      <c r="D17" s="8" t="str">
        <f>Ввод_работ!I18</f>
        <v/>
      </c>
      <c r="E17" s="8"/>
      <c r="F17" s="8"/>
      <c r="G17" s="8"/>
      <c r="H17" s="8"/>
    </row>
    <row r="18" ht="34" customHeight="1" spans="1:8" x14ac:dyDescent="0.25">
      <c r="A18" s="7" t="s">
        <v>105</v>
      </c>
      <c r="B18" s="7"/>
      <c r="C18" s="7"/>
      <c r="D18" s="8" t="str">
        <f>Ввод_работ!J18</f>
        <v/>
      </c>
      <c r="E18" s="8"/>
      <c r="F18" s="8"/>
      <c r="G18" s="8"/>
      <c r="H18" s="8"/>
    </row>
    <row r="19" ht="34" customHeight="1" spans="1:8" x14ac:dyDescent="0.25">
      <c r="A19" s="7" t="s">
        <v>106</v>
      </c>
      <c r="B19" s="7"/>
      <c r="C19" s="7"/>
      <c r="D19" s="8" t="str">
        <f>Ввод_работ!K18</f>
        <v/>
      </c>
      <c r="E19" s="8"/>
      <c r="F19" s="8"/>
      <c r="G19" s="8"/>
      <c r="H19" s="8"/>
    </row>
    <row r="20" ht="34" customHeight="1" spans="1:8" x14ac:dyDescent="0.25">
      <c r="A20" s="7" t="s">
        <v>107</v>
      </c>
      <c r="B20" s="7"/>
      <c r="C20" s="7"/>
      <c r="D20" s="8" t="str">
        <f>Ввод_работ!L18</f>
        <v/>
      </c>
      <c r="E20" s="8"/>
      <c r="F20" s="8"/>
      <c r="G20" s="8"/>
      <c r="H20" s="8"/>
    </row>
    <row r="23" spans="1:8" x14ac:dyDescent="0.25">
      <c r="A23" t="s">
        <v>108</v>
      </c>
      <c r="B23"/>
      <c r="C23"/>
      <c r="D23"/>
      <c r="E23"/>
      <c r="F23"/>
      <c r="G23"/>
      <c r="H23"/>
    </row>
    <row r="25" spans="1:8" x14ac:dyDescent="0.25">
      <c r="A25" t="s">
        <v>109</v>
      </c>
      <c r="B25"/>
      <c r="C25"/>
      <c r="D25"/>
      <c r="E25" t="s">
        <v>110</v>
      </c>
      <c r="F25"/>
      <c r="G25"/>
      <c r="H25"/>
    </row>
  </sheetData>
  <mergeCells count="39">
    <mergeCell ref="A1:H1"/>
    <mergeCell ref="A2:H2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A10:C10"/>
    <mergeCell ref="D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C15"/>
    <mergeCell ref="D15:H15"/>
    <mergeCell ref="A16:C16"/>
    <mergeCell ref="D16:H16"/>
    <mergeCell ref="A17:C17"/>
    <mergeCell ref="D17:H17"/>
    <mergeCell ref="A18:C18"/>
    <mergeCell ref="D18:H18"/>
    <mergeCell ref="A19:C19"/>
    <mergeCell ref="D19:H19"/>
    <mergeCell ref="A20:C20"/>
    <mergeCell ref="D20:H20"/>
    <mergeCell ref="A23:H23"/>
    <mergeCell ref="A25:D25"/>
    <mergeCell ref="E25:H25"/>
  </mergeCells>
  <pageSetup paperSize="9" orientation="portrait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"/>
  <sheetViews>
    <sheetView workbookViewId="0" showGridLines="0"/>
  </sheetViews>
  <sheetFormatPr defaultRowHeight="15" outlineLevelRow="0" outlineLevelCol="0" x14ac:dyDescent="55"/>
  <cols>
    <col min="1" max="8" width="17" customWidth="1"/>
  </cols>
  <sheetData>
    <row r="1" ht="33" customHeight="1" spans="1:8" x14ac:dyDescent="0.25">
      <c r="A1" s="1" t="s">
        <v>97</v>
      </c>
      <c r="B1" s="1"/>
      <c r="C1" s="1"/>
      <c r="D1" s="1"/>
      <c r="E1" s="1"/>
      <c r="F1" s="1"/>
      <c r="G1" s="1"/>
      <c r="H1" s="1"/>
    </row>
    <row r="2" spans="1:8" x14ac:dyDescent="0.25">
      <c r="A2" t="s">
        <v>98</v>
      </c>
      <c r="B2"/>
      <c r="C2"/>
      <c r="D2"/>
      <c r="E2"/>
      <c r="F2"/>
      <c r="G2"/>
      <c r="H2"/>
    </row>
    <row r="4" ht="34" customHeight="1" spans="1:8" x14ac:dyDescent="0.25">
      <c r="A4" s="7" t="s">
        <v>91</v>
      </c>
      <c r="B4" s="7"/>
      <c r="C4" s="7"/>
      <c r="D4" s="8" t="str">
        <f>Ввод_работ!A19</f>
        <v>1.14</v>
      </c>
      <c r="E4" s="8"/>
      <c r="F4" s="8"/>
      <c r="G4" s="8"/>
      <c r="H4" s="8"/>
    </row>
    <row r="5" ht="34" customHeight="1" spans="1:8" x14ac:dyDescent="0.25">
      <c r="A5" s="7" t="s">
        <v>1</v>
      </c>
      <c r="B5" s="7"/>
      <c r="C5" s="7"/>
      <c r="D5" s="8" t="str">
        <f>Реквизиты!B3</f>
        <v>Учебный объект (вымышленно)</v>
      </c>
      <c r="E5" s="8"/>
      <c r="F5" s="8"/>
      <c r="G5" s="8"/>
      <c r="H5" s="8"/>
    </row>
    <row r="6" ht="34" customHeight="1" spans="1:8" x14ac:dyDescent="0.25">
      <c r="A6" s="7" t="s">
        <v>5</v>
      </c>
      <c r="B6" s="7"/>
      <c r="C6" s="7"/>
      <c r="D6" s="8" t="str">
        <f>Реквизиты!B5</f>
        <v>Учебная улица, дом 1, Примерный город</v>
      </c>
      <c r="E6" s="8"/>
      <c r="F6" s="8"/>
      <c r="G6" s="8"/>
      <c r="H6" s="8"/>
    </row>
    <row r="7" ht="34" customHeight="1" spans="1:8" x14ac:dyDescent="0.25">
      <c r="A7" s="7" t="s">
        <v>7</v>
      </c>
      <c r="B7" s="7"/>
      <c r="C7" s="7"/>
      <c r="D7" s="8" t="str">
        <f>Реквизиты!B6</f>
        <v>Учебный заказчик</v>
      </c>
      <c r="E7" s="8"/>
      <c r="F7" s="8"/>
      <c r="G7" s="8"/>
      <c r="H7" s="8"/>
    </row>
    <row r="8" ht="34" customHeight="1" spans="1:8" x14ac:dyDescent="0.25">
      <c r="A8" s="7" t="s">
        <v>9</v>
      </c>
      <c r="B8" s="7"/>
      <c r="C8" s="7"/>
      <c r="D8" s="8" t="str">
        <f>Реквизиты!B7</f>
        <v>ООО «Пример-Кровля» (вымышленно)</v>
      </c>
      <c r="E8" s="8"/>
      <c r="F8" s="8"/>
      <c r="G8" s="8"/>
      <c r="H8" s="8"/>
    </row>
    <row r="9" ht="34" customHeight="1" spans="1:8" x14ac:dyDescent="0.25">
      <c r="A9" s="7" t="s">
        <v>11</v>
      </c>
      <c r="B9" s="7"/>
      <c r="C9" s="7"/>
      <c r="D9" s="8" t="str">
        <f>Реквизиты!B8</f>
        <v>Проектное бюро «Образец» (вымышленно)</v>
      </c>
      <c r="E9" s="8"/>
      <c r="F9" s="8"/>
      <c r="G9" s="8"/>
      <c r="H9" s="8"/>
    </row>
    <row r="10" ht="34" customHeight="1" spans="1:8" x14ac:dyDescent="0.25">
      <c r="A10" s="7" t="s">
        <v>28</v>
      </c>
      <c r="B10" s="7"/>
      <c r="C10" s="7"/>
      <c r="D10" s="8" t="str">
        <f>Ввод_работ!E19</f>
        <v/>
      </c>
      <c r="E10" s="8"/>
      <c r="F10" s="8"/>
      <c r="G10" s="8"/>
      <c r="H10" s="8"/>
    </row>
    <row r="11" ht="62" customHeight="1" spans="1:8" x14ac:dyDescent="0.25">
      <c r="A11" s="7" t="s">
        <v>99</v>
      </c>
      <c r="B11" s="7"/>
      <c r="C11" s="7"/>
      <c r="D11" s="8" t="str">
        <f>Ввод_работ!B19</f>
        <v/>
      </c>
      <c r="E11" s="8"/>
      <c r="F11" s="8"/>
      <c r="G11" s="8"/>
      <c r="H11" s="8"/>
    </row>
    <row r="12" ht="34" customHeight="1" spans="1:8" x14ac:dyDescent="0.25">
      <c r="A12" s="7" t="s">
        <v>100</v>
      </c>
      <c r="B12" s="7"/>
      <c r="C12" s="7"/>
      <c r="D12" s="8" t="str">
        <f>Ввод_работ!C19</f>
        <v/>
      </c>
      <c r="E12" s="8"/>
      <c r="F12" s="8"/>
      <c r="G12" s="8"/>
      <c r="H12" s="8"/>
    </row>
    <row r="13" ht="34" customHeight="1" spans="1:8" x14ac:dyDescent="0.25">
      <c r="A13" s="7" t="s">
        <v>101</v>
      </c>
      <c r="B13" s="7"/>
      <c r="C13" s="7"/>
      <c r="D13" s="8" t="str">
        <f>Ввод_работ!D19</f>
        <v/>
      </c>
      <c r="E13" s="8"/>
      <c r="F13" s="8"/>
      <c r="G13" s="8"/>
      <c r="H13" s="8"/>
    </row>
    <row r="14" ht="34" customHeight="1" spans="1:8" x14ac:dyDescent="0.25">
      <c r="A14" s="7" t="s">
        <v>102</v>
      </c>
      <c r="B14" s="7"/>
      <c r="C14" s="7"/>
      <c r="D14" s="8" t="str">
        <f>Ввод_работ!F19</f>
        <v/>
      </c>
      <c r="E14" s="8"/>
      <c r="F14" s="8"/>
      <c r="G14" s="8"/>
      <c r="H14" s="8"/>
    </row>
    <row r="15" ht="34" customHeight="1" spans="1:8" x14ac:dyDescent="0.25">
      <c r="A15" s="7" t="s">
        <v>103</v>
      </c>
      <c r="B15" s="7"/>
      <c r="C15" s="7"/>
      <c r="D15" s="8" t="str">
        <f>Ввод_работ!G19</f>
        <v/>
      </c>
      <c r="E15" s="8"/>
      <c r="F15" s="8"/>
      <c r="G15" s="8"/>
      <c r="H15" s="8"/>
    </row>
    <row r="16" ht="82" customHeight="1" spans="1:8" x14ac:dyDescent="0.25">
      <c r="A16" s="7" t="s">
        <v>31</v>
      </c>
      <c r="B16" s="7"/>
      <c r="C16" s="7"/>
      <c r="D16" s="8" t="str">
        <f>Ввод_работ!H19</f>
        <v/>
      </c>
      <c r="E16" s="8"/>
      <c r="F16" s="8"/>
      <c r="G16" s="8"/>
      <c r="H16" s="8"/>
    </row>
    <row r="17" ht="34" customHeight="1" spans="1:8" x14ac:dyDescent="0.25">
      <c r="A17" s="7" t="s">
        <v>104</v>
      </c>
      <c r="B17" s="7"/>
      <c r="C17" s="7"/>
      <c r="D17" s="8" t="str">
        <f>Ввод_работ!I19</f>
        <v/>
      </c>
      <c r="E17" s="8"/>
      <c r="F17" s="8"/>
      <c r="G17" s="8"/>
      <c r="H17" s="8"/>
    </row>
    <row r="18" ht="34" customHeight="1" spans="1:8" x14ac:dyDescent="0.25">
      <c r="A18" s="7" t="s">
        <v>105</v>
      </c>
      <c r="B18" s="7"/>
      <c r="C18" s="7"/>
      <c r="D18" s="8" t="str">
        <f>Ввод_работ!J19</f>
        <v/>
      </c>
      <c r="E18" s="8"/>
      <c r="F18" s="8"/>
      <c r="G18" s="8"/>
      <c r="H18" s="8"/>
    </row>
    <row r="19" ht="34" customHeight="1" spans="1:8" x14ac:dyDescent="0.25">
      <c r="A19" s="7" t="s">
        <v>106</v>
      </c>
      <c r="B19" s="7"/>
      <c r="C19" s="7"/>
      <c r="D19" s="8" t="str">
        <f>Ввод_работ!K19</f>
        <v/>
      </c>
      <c r="E19" s="8"/>
      <c r="F19" s="8"/>
      <c r="G19" s="8"/>
      <c r="H19" s="8"/>
    </row>
    <row r="20" ht="34" customHeight="1" spans="1:8" x14ac:dyDescent="0.25">
      <c r="A20" s="7" t="s">
        <v>107</v>
      </c>
      <c r="B20" s="7"/>
      <c r="C20" s="7"/>
      <c r="D20" s="8" t="str">
        <f>Ввод_работ!L19</f>
        <v/>
      </c>
      <c r="E20" s="8"/>
      <c r="F20" s="8"/>
      <c r="G20" s="8"/>
      <c r="H20" s="8"/>
    </row>
    <row r="23" spans="1:8" x14ac:dyDescent="0.25">
      <c r="A23" t="s">
        <v>108</v>
      </c>
      <c r="B23"/>
      <c r="C23"/>
      <c r="D23"/>
      <c r="E23"/>
      <c r="F23"/>
      <c r="G23"/>
      <c r="H23"/>
    </row>
    <row r="25" spans="1:8" x14ac:dyDescent="0.25">
      <c r="A25" t="s">
        <v>109</v>
      </c>
      <c r="B25"/>
      <c r="C25"/>
      <c r="D25"/>
      <c r="E25" t="s">
        <v>110</v>
      </c>
      <c r="F25"/>
      <c r="G25"/>
      <c r="H25"/>
    </row>
  </sheetData>
  <mergeCells count="39">
    <mergeCell ref="A1:H1"/>
    <mergeCell ref="A2:H2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A10:C10"/>
    <mergeCell ref="D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C15"/>
    <mergeCell ref="D15:H15"/>
    <mergeCell ref="A16:C16"/>
    <mergeCell ref="D16:H16"/>
    <mergeCell ref="A17:C17"/>
    <mergeCell ref="D17:H17"/>
    <mergeCell ref="A18:C18"/>
    <mergeCell ref="D18:H18"/>
    <mergeCell ref="A19:C19"/>
    <mergeCell ref="D19:H19"/>
    <mergeCell ref="A20:C20"/>
    <mergeCell ref="D20:H20"/>
    <mergeCell ref="A23:H23"/>
    <mergeCell ref="A25:D25"/>
    <mergeCell ref="E25:H25"/>
  </mergeCells>
  <pageSetup paperSize="9" orientation="portrait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6" width="24" customWidth="1"/>
  </cols>
  <sheetData>
    <row r="1" ht="33" customHeight="1" spans="1:6" x14ac:dyDescent="0.25">
      <c r="A1" s="1" t="s">
        <v>111</v>
      </c>
      <c r="B1" s="1"/>
      <c r="C1" s="1"/>
      <c r="D1" s="1"/>
      <c r="E1" s="1"/>
      <c r="F1" s="1"/>
    </row>
    <row r="3" ht="35" customHeight="1" spans="1:6" x14ac:dyDescent="0.25">
      <c r="A3" t="s">
        <v>112</v>
      </c>
      <c r="B3"/>
      <c r="C3"/>
      <c r="D3"/>
      <c r="E3"/>
      <c r="F3"/>
    </row>
    <row r="4" ht="35" customHeight="1" spans="1:6" x14ac:dyDescent="0.25">
      <c r="A4" t="s">
        <v>113</v>
      </c>
      <c r="B4"/>
      <c r="C4"/>
      <c r="D4"/>
      <c r="E4"/>
      <c r="F4"/>
    </row>
    <row r="5" ht="35" customHeight="1" spans="1:6" x14ac:dyDescent="0.25">
      <c r="A5" t="s">
        <v>114</v>
      </c>
      <c r="B5"/>
      <c r="C5"/>
      <c r="D5"/>
      <c r="E5"/>
      <c r="F5"/>
    </row>
    <row r="6" ht="35" customHeight="1" spans="1:6" x14ac:dyDescent="0.25">
      <c r="A6" t="s">
        <v>115</v>
      </c>
      <c r="B6"/>
      <c r="C6"/>
      <c r="D6"/>
      <c r="E6"/>
      <c r="F6"/>
    </row>
    <row r="7" ht="35" customHeight="1" spans="1:6" x14ac:dyDescent="0.25">
      <c r="A7" t="s">
        <v>116</v>
      </c>
      <c r="B7"/>
      <c r="C7"/>
      <c r="D7"/>
      <c r="E7"/>
      <c r="F7"/>
    </row>
  </sheetData>
  <mergeCells count="6">
    <mergeCell ref="A1:F1"/>
    <mergeCell ref="A3:F3"/>
    <mergeCell ref="A4:F4"/>
    <mergeCell ref="A5:F5"/>
    <mergeCell ref="A6:F6"/>
    <mergeCell ref="A7:F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Реквизиты</vt:lpstr>
      <vt:lpstr>Ввод_работ</vt:lpstr>
      <vt:lpstr>КС-2</vt:lpstr>
      <vt:lpstr>Сверка</vt:lpstr>
      <vt:lpstr>Акт_01</vt:lpstr>
      <vt:lpstr>Акт_02</vt:lpstr>
      <vt:lpstr>Акт_03</vt:lpstr>
      <vt:lpstr>Акт_04</vt:lpstr>
      <vt:lpstr>Акт_05</vt:lpstr>
      <vt:lpstr>Акт_06</vt:lpstr>
      <vt:lpstr>Акт_07</vt:lpstr>
      <vt:lpstr>Акт_08</vt:lpstr>
      <vt:lpstr>Акт_09</vt:lpstr>
      <vt:lpstr>Акт_10</vt:lpstr>
      <vt:lpstr>Акт_11</vt:lpstr>
      <vt:lpstr>Акт_12</vt:lpstr>
      <vt:lpstr>Акт_13</vt:lpstr>
      <vt:lpstr>Акт_14</vt:lpstr>
      <vt:lpstr>Акт_15</vt:lpstr>
      <vt:lpstr>Инструкция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 Field Studio / PTO prototype</dc:creator>
  <dc:title/>
  <dc:subject>Черновики АОСР и техническая сверка КС-2</dc:subject>
  <dc:description/>
  <cp:keywords/>
  <cp:category/>
  <cp:lastModifiedBy>Unknown</cp:lastModifiedBy>
  <dcterms:created xsi:type="dcterms:W3CDTF">2026-10-28T14:52:26Z</dcterms:created>
  <dcterms:modified xsi:type="dcterms:W3CDTF">2026-10-28T14:52:26Z</dcterms:modified>
</cp:coreProperties>
</file>